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969e512ef1384f3/Desktop/PW/May_DA_Batch_30/"/>
    </mc:Choice>
  </mc:AlternateContent>
  <xr:revisionPtr revIDLastSave="0" documentId="8_{BBD2E2B8-BA14-44F6-BEAE-B33F9384EF8A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CarPrice_Assignment (1) (1)" sheetId="1" r:id="rId1"/>
    <sheet name="Sheet2" sheetId="3" r:id="rId2"/>
    <sheet name="Sheet3" sheetId="4" r:id="rId3"/>
    <sheet name="Sheet4" sheetId="5" r:id="rId4"/>
  </sheets>
  <definedNames>
    <definedName name="_xlnm._FilterDatabase" localSheetId="0" hidden="1">'CarPrice_Assignment (1) (1)'!$A$1:$AD$206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jWC/E5wwxgZLyByXqsV2WihkIl6pd2/8UA9B2nyWvQ="/>
    </ext>
  </extLst>
</workbook>
</file>

<file path=xl/calcChain.xml><?xml version="1.0" encoding="utf-8"?>
<calcChain xmlns="http://schemas.openxmlformats.org/spreadsheetml/2006/main">
  <c r="AT3" i="5" l="1"/>
  <c r="AE3" i="5"/>
  <c r="AE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96" i="5"/>
  <c r="AE97" i="5"/>
  <c r="AE98" i="5"/>
  <c r="AE99" i="5"/>
  <c r="AE100" i="5"/>
  <c r="AE101" i="5"/>
  <c r="AE102" i="5"/>
  <c r="AE103" i="5"/>
  <c r="AE104" i="5"/>
  <c r="AE105" i="5"/>
  <c r="AE106" i="5"/>
  <c r="AE107" i="5"/>
  <c r="AE108" i="5"/>
  <c r="AE109" i="5"/>
  <c r="AE110" i="5"/>
  <c r="AE111" i="5"/>
  <c r="AE112" i="5"/>
  <c r="AE113" i="5"/>
  <c r="AE114" i="5"/>
  <c r="AE115" i="5"/>
  <c r="AE116" i="5"/>
  <c r="AE117" i="5"/>
  <c r="AE118" i="5"/>
  <c r="AE119" i="5"/>
  <c r="AE120" i="5"/>
  <c r="AE121" i="5"/>
  <c r="AE122" i="5"/>
  <c r="AE123" i="5"/>
  <c r="AE124" i="5"/>
  <c r="AE125" i="5"/>
  <c r="AE126" i="5"/>
  <c r="AE127" i="5"/>
  <c r="AE128" i="5"/>
  <c r="AE129" i="5"/>
  <c r="AE130" i="5"/>
  <c r="AE131" i="5"/>
  <c r="AE132" i="5"/>
  <c r="AE133" i="5"/>
  <c r="AE134" i="5"/>
  <c r="AE135" i="5"/>
  <c r="AE136" i="5"/>
  <c r="AE137" i="5"/>
  <c r="AE138" i="5"/>
  <c r="AE139" i="5"/>
  <c r="AE140" i="5"/>
  <c r="AE141" i="5"/>
  <c r="AE142" i="5"/>
  <c r="AE143" i="5"/>
  <c r="AE144" i="5"/>
  <c r="AE145" i="5"/>
  <c r="AE146" i="5"/>
  <c r="AE147" i="5"/>
  <c r="AE148" i="5"/>
  <c r="AE149" i="5"/>
  <c r="AE150" i="5"/>
  <c r="AE151" i="5"/>
  <c r="AE152" i="5"/>
  <c r="AE153" i="5"/>
  <c r="AE154" i="5"/>
  <c r="AE155" i="5"/>
  <c r="AE156" i="5"/>
  <c r="AE157" i="5"/>
  <c r="AE158" i="5"/>
  <c r="AE159" i="5"/>
  <c r="AE160" i="5"/>
  <c r="AE161" i="5"/>
  <c r="AE162" i="5"/>
  <c r="AE163" i="5"/>
  <c r="AE164" i="5"/>
  <c r="AE165" i="5"/>
  <c r="AE166" i="5"/>
  <c r="AE167" i="5"/>
  <c r="AE168" i="5"/>
  <c r="AE169" i="5"/>
  <c r="AE170" i="5"/>
  <c r="AE171" i="5"/>
  <c r="AE172" i="5"/>
  <c r="AE173" i="5"/>
  <c r="AE174" i="5"/>
  <c r="AE175" i="5"/>
  <c r="AE176" i="5"/>
  <c r="AE177" i="5"/>
  <c r="AE178" i="5"/>
  <c r="AE179" i="5"/>
  <c r="AE180" i="5"/>
  <c r="AE181" i="5"/>
  <c r="AE182" i="5"/>
  <c r="AE183" i="5"/>
  <c r="AE184" i="5"/>
  <c r="AE185" i="5"/>
  <c r="AE186" i="5"/>
  <c r="AE187" i="5"/>
  <c r="AE188" i="5"/>
  <c r="AE189" i="5"/>
  <c r="AE190" i="5"/>
  <c r="AE191" i="5"/>
  <c r="AE192" i="5"/>
  <c r="AE193" i="5"/>
  <c r="AE194" i="5"/>
  <c r="AE195" i="5"/>
  <c r="AE196" i="5"/>
  <c r="AE197" i="5"/>
  <c r="AE198" i="5"/>
  <c r="AE199" i="5"/>
  <c r="AE200" i="5"/>
  <c r="AE201" i="5"/>
  <c r="AE202" i="5"/>
  <c r="AE203" i="5"/>
  <c r="AE204" i="5"/>
  <c r="AE205" i="5"/>
  <c r="AE206" i="5"/>
  <c r="AE2" i="5"/>
  <c r="AD3" i="5"/>
  <c r="AD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D64" i="5"/>
  <c r="AD65" i="5"/>
  <c r="AD66" i="5"/>
  <c r="AD67" i="5"/>
  <c r="AD68" i="5"/>
  <c r="AD69" i="5"/>
  <c r="AD70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89" i="5"/>
  <c r="AD90" i="5"/>
  <c r="AD91" i="5"/>
  <c r="AD92" i="5"/>
  <c r="AD93" i="5"/>
  <c r="AD94" i="5"/>
  <c r="AD95" i="5"/>
  <c r="AD96" i="5"/>
  <c r="AD97" i="5"/>
  <c r="AD98" i="5"/>
  <c r="AD99" i="5"/>
  <c r="AD100" i="5"/>
  <c r="AD101" i="5"/>
  <c r="AD102" i="5"/>
  <c r="AD103" i="5"/>
  <c r="AD104" i="5"/>
  <c r="AD105" i="5"/>
  <c r="AD106" i="5"/>
  <c r="AD107" i="5"/>
  <c r="AD108" i="5"/>
  <c r="AD109" i="5"/>
  <c r="AD110" i="5"/>
  <c r="AD111" i="5"/>
  <c r="AD112" i="5"/>
  <c r="AD113" i="5"/>
  <c r="AD114" i="5"/>
  <c r="AD115" i="5"/>
  <c r="AD116" i="5"/>
  <c r="AD117" i="5"/>
  <c r="AD118" i="5"/>
  <c r="AD119" i="5"/>
  <c r="AD120" i="5"/>
  <c r="AD121" i="5"/>
  <c r="AD122" i="5"/>
  <c r="AD123" i="5"/>
  <c r="AD124" i="5"/>
  <c r="AD125" i="5"/>
  <c r="AD126" i="5"/>
  <c r="AD127" i="5"/>
  <c r="AD128" i="5"/>
  <c r="AD129" i="5"/>
  <c r="AD130" i="5"/>
  <c r="AD131" i="5"/>
  <c r="AD132" i="5"/>
  <c r="AD133" i="5"/>
  <c r="AD134" i="5"/>
  <c r="AD135" i="5"/>
  <c r="AD136" i="5"/>
  <c r="AD137" i="5"/>
  <c r="AD138" i="5"/>
  <c r="AD139" i="5"/>
  <c r="AD140" i="5"/>
  <c r="AD141" i="5"/>
  <c r="AD142" i="5"/>
  <c r="AD143" i="5"/>
  <c r="AD144" i="5"/>
  <c r="AD145" i="5"/>
  <c r="AD146" i="5"/>
  <c r="AD147" i="5"/>
  <c r="AD148" i="5"/>
  <c r="AD149" i="5"/>
  <c r="AD150" i="5"/>
  <c r="AD151" i="5"/>
  <c r="AD152" i="5"/>
  <c r="AD153" i="5"/>
  <c r="AD154" i="5"/>
  <c r="AD155" i="5"/>
  <c r="AD156" i="5"/>
  <c r="AD157" i="5"/>
  <c r="AD158" i="5"/>
  <c r="AD159" i="5"/>
  <c r="AD160" i="5"/>
  <c r="AD161" i="5"/>
  <c r="AD162" i="5"/>
  <c r="AD163" i="5"/>
  <c r="AD164" i="5"/>
  <c r="AD165" i="5"/>
  <c r="AD166" i="5"/>
  <c r="AD167" i="5"/>
  <c r="AD168" i="5"/>
  <c r="AD169" i="5"/>
  <c r="AD170" i="5"/>
  <c r="AD171" i="5"/>
  <c r="AD172" i="5"/>
  <c r="AD173" i="5"/>
  <c r="AD174" i="5"/>
  <c r="AD175" i="5"/>
  <c r="AD176" i="5"/>
  <c r="AD177" i="5"/>
  <c r="AD178" i="5"/>
  <c r="AD179" i="5"/>
  <c r="AD180" i="5"/>
  <c r="AD181" i="5"/>
  <c r="AD182" i="5"/>
  <c r="AD183" i="5"/>
  <c r="AD184" i="5"/>
  <c r="AD185" i="5"/>
  <c r="AD186" i="5"/>
  <c r="AD187" i="5"/>
  <c r="AD188" i="5"/>
  <c r="AD189" i="5"/>
  <c r="AD190" i="5"/>
  <c r="AD191" i="5"/>
  <c r="AD192" i="5"/>
  <c r="AD193" i="5"/>
  <c r="AD194" i="5"/>
  <c r="AD195" i="5"/>
  <c r="AD196" i="5"/>
  <c r="AD197" i="5"/>
  <c r="AD198" i="5"/>
  <c r="AD199" i="5"/>
  <c r="AD200" i="5"/>
  <c r="AD201" i="5"/>
  <c r="AD202" i="5"/>
  <c r="AD203" i="5"/>
  <c r="AD204" i="5"/>
  <c r="AD205" i="5"/>
  <c r="AD206" i="5"/>
  <c r="AD2" i="5"/>
  <c r="AC3" i="5"/>
  <c r="AC4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109" i="5"/>
  <c r="AC110" i="5"/>
  <c r="AC111" i="5"/>
  <c r="AC112" i="5"/>
  <c r="AC113" i="5"/>
  <c r="AC114" i="5"/>
  <c r="AC115" i="5"/>
  <c r="AC116" i="5"/>
  <c r="AC117" i="5"/>
  <c r="AC118" i="5"/>
  <c r="AC119" i="5"/>
  <c r="AC120" i="5"/>
  <c r="AC121" i="5"/>
  <c r="AC122" i="5"/>
  <c r="AC123" i="5"/>
  <c r="AC124" i="5"/>
  <c r="AC125" i="5"/>
  <c r="AC126" i="5"/>
  <c r="AC127" i="5"/>
  <c r="AC128" i="5"/>
  <c r="AC129" i="5"/>
  <c r="AC130" i="5"/>
  <c r="AC131" i="5"/>
  <c r="AC132" i="5"/>
  <c r="AC133" i="5"/>
  <c r="AC134" i="5"/>
  <c r="AC135" i="5"/>
  <c r="AC136" i="5"/>
  <c r="AC137" i="5"/>
  <c r="AC138" i="5"/>
  <c r="AC139" i="5"/>
  <c r="AC140" i="5"/>
  <c r="AC141" i="5"/>
  <c r="AC142" i="5"/>
  <c r="AC143" i="5"/>
  <c r="AC144" i="5"/>
  <c r="AC145" i="5"/>
  <c r="AC146" i="5"/>
  <c r="AC147" i="5"/>
  <c r="AC148" i="5"/>
  <c r="AC149" i="5"/>
  <c r="AC150" i="5"/>
  <c r="AC151" i="5"/>
  <c r="AC152" i="5"/>
  <c r="AC153" i="5"/>
  <c r="AC154" i="5"/>
  <c r="AC155" i="5"/>
  <c r="AC156" i="5"/>
  <c r="AC157" i="5"/>
  <c r="AC158" i="5"/>
  <c r="AC159" i="5"/>
  <c r="AC160" i="5"/>
  <c r="AC161" i="5"/>
  <c r="AC162" i="5"/>
  <c r="AC163" i="5"/>
  <c r="AC164" i="5"/>
  <c r="AC165" i="5"/>
  <c r="AC166" i="5"/>
  <c r="AC167" i="5"/>
  <c r="AC168" i="5"/>
  <c r="AC169" i="5"/>
  <c r="AC170" i="5"/>
  <c r="AC171" i="5"/>
  <c r="AC172" i="5"/>
  <c r="AC173" i="5"/>
  <c r="AC174" i="5"/>
  <c r="AC175" i="5"/>
  <c r="AC176" i="5"/>
  <c r="AC177" i="5"/>
  <c r="AC178" i="5"/>
  <c r="AC179" i="5"/>
  <c r="AC180" i="5"/>
  <c r="AC181" i="5"/>
  <c r="AC182" i="5"/>
  <c r="AC183" i="5"/>
  <c r="AC184" i="5"/>
  <c r="AC185" i="5"/>
  <c r="AC186" i="5"/>
  <c r="AC187" i="5"/>
  <c r="AC188" i="5"/>
  <c r="AC189" i="5"/>
  <c r="AC190" i="5"/>
  <c r="AC191" i="5"/>
  <c r="AC192" i="5"/>
  <c r="AC193" i="5"/>
  <c r="AC194" i="5"/>
  <c r="AC195" i="5"/>
  <c r="AC196" i="5"/>
  <c r="AC197" i="5"/>
  <c r="AC198" i="5"/>
  <c r="AC199" i="5"/>
  <c r="AC200" i="5"/>
  <c r="AC201" i="5"/>
  <c r="AC202" i="5"/>
  <c r="AC203" i="5"/>
  <c r="AC204" i="5"/>
  <c r="AC205" i="5"/>
  <c r="AC206" i="5"/>
  <c r="AC2" i="5"/>
  <c r="B9" i="5"/>
  <c r="AA206" i="4"/>
  <c r="AA205" i="4"/>
  <c r="AA204" i="4"/>
  <c r="AA203" i="4"/>
  <c r="AA202" i="4"/>
  <c r="AA201" i="4"/>
  <c r="AA200" i="4"/>
  <c r="AA199" i="4"/>
  <c r="AA198" i="4"/>
  <c r="AA197" i="4"/>
  <c r="AA196" i="4"/>
  <c r="AA195" i="4"/>
  <c r="AA194" i="4"/>
  <c r="AA193" i="4"/>
  <c r="AA192" i="4"/>
  <c r="AA191" i="4"/>
  <c r="AA190" i="4"/>
  <c r="AA189" i="4"/>
  <c r="AA188" i="4"/>
  <c r="AA187" i="4"/>
  <c r="AA186" i="4"/>
  <c r="AA185" i="4"/>
  <c r="AA184" i="4"/>
  <c r="AA183" i="4"/>
  <c r="AA182" i="4"/>
  <c r="AA181" i="4"/>
  <c r="AA180" i="4"/>
  <c r="AA179" i="4"/>
  <c r="AA178" i="4"/>
  <c r="AA177" i="4"/>
  <c r="AA176" i="4"/>
  <c r="AA175" i="4"/>
  <c r="AA174" i="4"/>
  <c r="AA173" i="4"/>
  <c r="AA172" i="4"/>
  <c r="AA171" i="4"/>
  <c r="AA170" i="4"/>
  <c r="AA169" i="4"/>
  <c r="AA168" i="4"/>
  <c r="AA167" i="4"/>
  <c r="AA166" i="4"/>
  <c r="AA165" i="4"/>
  <c r="AA164" i="4"/>
  <c r="AA163" i="4"/>
  <c r="AA162" i="4"/>
  <c r="AA161" i="4"/>
  <c r="AA160" i="4"/>
  <c r="AA159" i="4"/>
  <c r="AA158" i="4"/>
  <c r="AA157" i="4"/>
  <c r="AA156" i="4"/>
  <c r="AA155" i="4"/>
  <c r="AA154" i="4"/>
  <c r="AA153" i="4"/>
  <c r="AA152" i="4"/>
  <c r="AA151" i="4"/>
  <c r="AA150" i="4"/>
  <c r="AA149" i="4"/>
  <c r="AA148" i="4"/>
  <c r="AA147" i="4"/>
  <c r="AA146" i="4"/>
  <c r="AA145" i="4"/>
  <c r="AA144" i="4"/>
  <c r="AA143" i="4"/>
  <c r="AA142" i="4"/>
  <c r="AA141" i="4"/>
  <c r="AA140" i="4"/>
  <c r="AA139" i="4"/>
  <c r="AA138" i="4"/>
  <c r="AA137" i="4"/>
  <c r="AA136" i="4"/>
  <c r="AA135" i="4"/>
  <c r="AA134" i="4"/>
  <c r="AA133" i="4"/>
  <c r="AA132" i="4"/>
  <c r="AA131" i="4"/>
  <c r="AA130" i="4"/>
  <c r="AA129" i="4"/>
  <c r="AA128" i="4"/>
  <c r="AA127" i="4"/>
  <c r="AA126" i="4"/>
  <c r="AA125" i="4"/>
  <c r="AA124" i="4"/>
  <c r="AA123" i="4"/>
  <c r="AA122" i="4"/>
  <c r="AA121" i="4"/>
  <c r="AA120" i="4"/>
  <c r="AA119" i="4"/>
  <c r="AA118" i="4"/>
  <c r="AA117" i="4"/>
  <c r="AA116" i="4"/>
  <c r="AA115" i="4"/>
  <c r="AA114" i="4"/>
  <c r="AA113" i="4"/>
  <c r="AA112" i="4"/>
  <c r="AA111" i="4"/>
  <c r="AA110" i="4"/>
  <c r="AA109" i="4"/>
  <c r="AA108" i="4"/>
  <c r="AA107" i="4"/>
  <c r="AA106" i="4"/>
  <c r="AA105" i="4"/>
  <c r="AA104" i="4"/>
  <c r="AA103" i="4"/>
  <c r="AA102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A88" i="4"/>
  <c r="AA87" i="4"/>
  <c r="AA86" i="4"/>
  <c r="AA85" i="4"/>
  <c r="AA84" i="4"/>
  <c r="AA83" i="4"/>
  <c r="AA82" i="4"/>
  <c r="AA81" i="4"/>
  <c r="AA80" i="4"/>
  <c r="AA79" i="4"/>
  <c r="AA78" i="4"/>
  <c r="AA77" i="4"/>
  <c r="AA76" i="4"/>
  <c r="AA75" i="4"/>
  <c r="AA74" i="4"/>
  <c r="AA73" i="4"/>
  <c r="AA72" i="4"/>
  <c r="AA71" i="4"/>
  <c r="AA70" i="4"/>
  <c r="AA69" i="4"/>
  <c r="AA68" i="4"/>
  <c r="AA67" i="4"/>
  <c r="AA66" i="4"/>
  <c r="AA65" i="4"/>
  <c r="AA64" i="4"/>
  <c r="AA63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7" i="4"/>
  <c r="AA4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25" i="4"/>
  <c r="AA24" i="4"/>
  <c r="AA23" i="4"/>
  <c r="AA22" i="4"/>
  <c r="AA21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A6" i="4"/>
  <c r="AA5" i="4"/>
  <c r="AA4" i="4"/>
  <c r="AA3" i="4"/>
  <c r="AA2" i="4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4" i="1"/>
  <c r="AA3" i="1"/>
  <c r="AA2" i="1"/>
  <c r="N3" i="3"/>
  <c r="N4" i="3"/>
  <c r="N5" i="3"/>
  <c r="N6" i="3"/>
  <c r="N2" i="3"/>
  <c r="I4" i="3"/>
  <c r="H4" i="3"/>
  <c r="G4" i="3"/>
  <c r="F4" i="3"/>
  <c r="E4" i="3"/>
  <c r="B6" i="3"/>
  <c r="B5" i="3"/>
  <c r="B4" i="3"/>
  <c r="B3" i="3"/>
  <c r="B2" i="3"/>
  <c r="AF7" i="1"/>
  <c r="AF6" i="1"/>
  <c r="AF5" i="1"/>
  <c r="AF4" i="1"/>
  <c r="AC15" i="1"/>
  <c r="AC14" i="1"/>
  <c r="AD14" i="1"/>
  <c r="AB2" i="1"/>
  <c r="AD13" i="1"/>
  <c r="AC13" i="1"/>
</calcChain>
</file>

<file path=xl/sharedStrings.xml><?xml version="1.0" encoding="utf-8"?>
<sst xmlns="http://schemas.openxmlformats.org/spreadsheetml/2006/main" count="4190" uniqueCount="239">
  <si>
    <t>car_ID</t>
  </si>
  <si>
    <t>symboling</t>
  </si>
  <si>
    <t>CarName</t>
  </si>
  <si>
    <t>fueltype</t>
  </si>
  <si>
    <t>aspiration</t>
  </si>
  <si>
    <t>doornumber</t>
  </si>
  <si>
    <t>carbody</t>
  </si>
  <si>
    <t>drivewheel</t>
  </si>
  <si>
    <t>enginelocation</t>
  </si>
  <si>
    <t>wheelbase</t>
  </si>
  <si>
    <t>carlength</t>
  </si>
  <si>
    <t>carwidth</t>
  </si>
  <si>
    <t>carheight</t>
  </si>
  <si>
    <t>curbweight</t>
  </si>
  <si>
    <t>enginetype</t>
  </si>
  <si>
    <t>cylindernumber</t>
  </si>
  <si>
    <t>enginesize</t>
  </si>
  <si>
    <t>fuelsystem</t>
  </si>
  <si>
    <t>boreratio</t>
  </si>
  <si>
    <t>stroke</t>
  </si>
  <si>
    <t>compressionratio</t>
  </si>
  <si>
    <t>horsepower</t>
  </si>
  <si>
    <t>peakrpm</t>
  </si>
  <si>
    <t>citympg</t>
  </si>
  <si>
    <t>highwaympg</t>
  </si>
  <si>
    <t>price</t>
  </si>
  <si>
    <t>alfa-romero giulia</t>
  </si>
  <si>
    <t>gas</t>
  </si>
  <si>
    <t>std</t>
  </si>
  <si>
    <t>two</t>
  </si>
  <si>
    <t>convertible</t>
  </si>
  <si>
    <t>rwd</t>
  </si>
  <si>
    <t>front</t>
  </si>
  <si>
    <t>dohc</t>
  </si>
  <si>
    <t>four</t>
  </si>
  <si>
    <t>mpfi</t>
  </si>
  <si>
    <t>alfa-romero stelvio</t>
  </si>
  <si>
    <t>alfa-romero Quadrifoglio</t>
  </si>
  <si>
    <t>hatchback</t>
  </si>
  <si>
    <t>ohcv</t>
  </si>
  <si>
    <t>six</t>
  </si>
  <si>
    <t>audi 100 ls</t>
  </si>
  <si>
    <t>sedan</t>
  </si>
  <si>
    <t>fwd</t>
  </si>
  <si>
    <t>ohc</t>
  </si>
  <si>
    <t>audi 100ls</t>
  </si>
  <si>
    <t>4wd</t>
  </si>
  <si>
    <t>five</t>
  </si>
  <si>
    <t>audi fox</t>
  </si>
  <si>
    <t>audi 5000</t>
  </si>
  <si>
    <t>wagon</t>
  </si>
  <si>
    <t>audi 4000</t>
  </si>
  <si>
    <t>turbo</t>
  </si>
  <si>
    <t>audi 5000s (diesel)</t>
  </si>
  <si>
    <t>bmw 320i</t>
  </si>
  <si>
    <t>bmw x1</t>
  </si>
  <si>
    <t>bmw x3</t>
  </si>
  <si>
    <t>bmw z4</t>
  </si>
  <si>
    <t>bmw x4</t>
  </si>
  <si>
    <t>bmw x5</t>
  </si>
  <si>
    <t>chevrolet impala</t>
  </si>
  <si>
    <t>l</t>
  </si>
  <si>
    <t>three</t>
  </si>
  <si>
    <t>2bbl</t>
  </si>
  <si>
    <t>chevrolet monte carlo</t>
  </si>
  <si>
    <t>chevrolet vega 2300</t>
  </si>
  <si>
    <t>dodge rampage</t>
  </si>
  <si>
    <t>dodge challenger se</t>
  </si>
  <si>
    <t>dodge d200</t>
  </si>
  <si>
    <t>dodge monaco (sw)</t>
  </si>
  <si>
    <t>dodge colt hardtop</t>
  </si>
  <si>
    <t>dodge colt (sw)</t>
  </si>
  <si>
    <t>dodge coronet custom</t>
  </si>
  <si>
    <t>dodge dart custom</t>
  </si>
  <si>
    <t>dodge coronet custom (sw)</t>
  </si>
  <si>
    <t>mfi</t>
  </si>
  <si>
    <t>honda civic</t>
  </si>
  <si>
    <t>1bbl</t>
  </si>
  <si>
    <t>honda civic cvcc</t>
  </si>
  <si>
    <t>honda accord cvcc</t>
  </si>
  <si>
    <t>honda accord lx</t>
  </si>
  <si>
    <t>honda civic 1500 gl</t>
  </si>
  <si>
    <t>honda accord</t>
  </si>
  <si>
    <t>honda civic 1300</t>
  </si>
  <si>
    <t>honda prelude</t>
  </si>
  <si>
    <t>honda civic (auto)</t>
  </si>
  <si>
    <t>isuzu MU-X</t>
  </si>
  <si>
    <t xml:space="preserve">isuzu D-Max </t>
  </si>
  <si>
    <t>isuzu D-Max V-Cross</t>
  </si>
  <si>
    <t>spfi</t>
  </si>
  <si>
    <t>jaguar xj</t>
  </si>
  <si>
    <t>jaguar xf</t>
  </si>
  <si>
    <t>jaguar xk</t>
  </si>
  <si>
    <t>twelve</t>
  </si>
  <si>
    <t>maxda rx3</t>
  </si>
  <si>
    <t>maxda glc deluxe</t>
  </si>
  <si>
    <t>mazda rx2 coupe</t>
  </si>
  <si>
    <t>mazda rx-4</t>
  </si>
  <si>
    <t>mazda glc deluxe</t>
  </si>
  <si>
    <t>mazda 626</t>
  </si>
  <si>
    <t>rotor</t>
  </si>
  <si>
    <t>4bbl</t>
  </si>
  <si>
    <t>mazda glc</t>
  </si>
  <si>
    <t>mazda rx-7 gs</t>
  </si>
  <si>
    <t>mazda glc 4</t>
  </si>
  <si>
    <t>mazda glc custom l</t>
  </si>
  <si>
    <t>mazda glc custom</t>
  </si>
  <si>
    <t>diesel</t>
  </si>
  <si>
    <t>idi</t>
  </si>
  <si>
    <t>buick electra 225 custom</t>
  </si>
  <si>
    <t>buick century luxus (sw)</t>
  </si>
  <si>
    <t>buick century</t>
  </si>
  <si>
    <t>hardtop</t>
  </si>
  <si>
    <t>buick skyhawk</t>
  </si>
  <si>
    <t>buick opel isuzu deluxe</t>
  </si>
  <si>
    <t>eight</t>
  </si>
  <si>
    <t>buick skylark</t>
  </si>
  <si>
    <t>buick century special</t>
  </si>
  <si>
    <t>buick regal sport coupe (turbo)</t>
  </si>
  <si>
    <t>mercury cougar</t>
  </si>
  <si>
    <t>mitsubishi mirage</t>
  </si>
  <si>
    <t>mitsubishi lancer</t>
  </si>
  <si>
    <t>mitsubishi outlander</t>
  </si>
  <si>
    <t>mitsubishi g4</t>
  </si>
  <si>
    <t>spdi</t>
  </si>
  <si>
    <t>mitsubishi mirage g4</t>
  </si>
  <si>
    <t>mitsubishi montero</t>
  </si>
  <si>
    <t>mitsubishi pajero</t>
  </si>
  <si>
    <t>Nissan versa</t>
  </si>
  <si>
    <t>nissan gt-r</t>
  </si>
  <si>
    <t>nissan rogue</t>
  </si>
  <si>
    <t>nissan latio</t>
  </si>
  <si>
    <t>nissan titan</t>
  </si>
  <si>
    <t>nissan leaf</t>
  </si>
  <si>
    <t>nissan juke</t>
  </si>
  <si>
    <t>nissan note</t>
  </si>
  <si>
    <t>nissan clipper</t>
  </si>
  <si>
    <t>nissan nv200</t>
  </si>
  <si>
    <t>nissan dayz</t>
  </si>
  <si>
    <t>nissan fuga</t>
  </si>
  <si>
    <t>nissan otti</t>
  </si>
  <si>
    <t>nissan teana</t>
  </si>
  <si>
    <t>nissan kicks</t>
  </si>
  <si>
    <t>peugeot 504</t>
  </si>
  <si>
    <t>peugeot 304</t>
  </si>
  <si>
    <t>peugeot 504 (sw)</t>
  </si>
  <si>
    <t>peugeot 604sl</t>
  </si>
  <si>
    <t>peugeot 505s turbo diesel</t>
  </si>
  <si>
    <t>plymouth fury iii</t>
  </si>
  <si>
    <t>plymouth cricket</t>
  </si>
  <si>
    <t>plymouth satellite custom (sw)</t>
  </si>
  <si>
    <t>plymouth fury gran sedan</t>
  </si>
  <si>
    <t>plymouth valiant</t>
  </si>
  <si>
    <t>plymouth duster</t>
  </si>
  <si>
    <t>porsche macan</t>
  </si>
  <si>
    <t>porcshce panamera</t>
  </si>
  <si>
    <t>rear</t>
  </si>
  <si>
    <t>ohcf</t>
  </si>
  <si>
    <t>porsche cayenne</t>
  </si>
  <si>
    <t>porsche boxter</t>
  </si>
  <si>
    <t>dohcv</t>
  </si>
  <si>
    <t>renault 12tl</t>
  </si>
  <si>
    <t>renault 5 gtl</t>
  </si>
  <si>
    <t>saab 99e</t>
  </si>
  <si>
    <t>saab 99le</t>
  </si>
  <si>
    <t>saab 99gle</t>
  </si>
  <si>
    <t>subaru</t>
  </si>
  <si>
    <t>subaru dl</t>
  </si>
  <si>
    <t>subaru brz</t>
  </si>
  <si>
    <t>subaru baja</t>
  </si>
  <si>
    <t>subaru r1</t>
  </si>
  <si>
    <t>subaru r2</t>
  </si>
  <si>
    <t>subaru trezia</t>
  </si>
  <si>
    <t>subaru tribeca</t>
  </si>
  <si>
    <t>toyota corona mark ii</t>
  </si>
  <si>
    <t>toyota corona</t>
  </si>
  <si>
    <t>toyota corolla 1200</t>
  </si>
  <si>
    <t>toyota corona hardtop</t>
  </si>
  <si>
    <t>toyota corolla 1600 (sw)</t>
  </si>
  <si>
    <t>toyota carina</t>
  </si>
  <si>
    <t>toyota mark ii</t>
  </si>
  <si>
    <t>toyota corolla</t>
  </si>
  <si>
    <t>toyota corolla liftback</t>
  </si>
  <si>
    <t>toyota celica gt liftback</t>
  </si>
  <si>
    <t>toyota corolla tercel</t>
  </si>
  <si>
    <t>toyota corona liftback</t>
  </si>
  <si>
    <t>toyota starlet</t>
  </si>
  <si>
    <t>toyota tercel</t>
  </si>
  <si>
    <t>toyota cressida</t>
  </si>
  <si>
    <t>toyota celica gt</t>
  </si>
  <si>
    <t>toyouta tercel</t>
  </si>
  <si>
    <t>vokswagen rabbit</t>
  </si>
  <si>
    <t>volkswagen 1131 deluxe sedan</t>
  </si>
  <si>
    <t>volkswagen model 111</t>
  </si>
  <si>
    <t>volkswagen type 3</t>
  </si>
  <si>
    <t>volkswagen 411 (sw)</t>
  </si>
  <si>
    <t>volkswagen super beetle</t>
  </si>
  <si>
    <t>volkswagen dasher</t>
  </si>
  <si>
    <t>vw dasher</t>
  </si>
  <si>
    <t>vw rabbit</t>
  </si>
  <si>
    <t>volkswagen rabbit</t>
  </si>
  <si>
    <t>volkswagen rabbit custom</t>
  </si>
  <si>
    <t>volvo 145e (sw)</t>
  </si>
  <si>
    <t>volvo 144ea</t>
  </si>
  <si>
    <t>volvo 244dl</t>
  </si>
  <si>
    <t>volvo 245</t>
  </si>
  <si>
    <t>volvo 264gl</t>
  </si>
  <si>
    <t>volvo diesel</t>
  </si>
  <si>
    <t>volvo 246</t>
  </si>
  <si>
    <t>SUM Function</t>
  </si>
  <si>
    <t>Average Function</t>
  </si>
  <si>
    <t>Count function</t>
  </si>
  <si>
    <t>Add</t>
  </si>
  <si>
    <t>Subtract</t>
  </si>
  <si>
    <t>multiple</t>
  </si>
  <si>
    <t>divide</t>
  </si>
  <si>
    <t>Price</t>
  </si>
  <si>
    <t>price 10X</t>
  </si>
  <si>
    <t>discounted price(10%)</t>
  </si>
  <si>
    <t>Month</t>
  </si>
  <si>
    <t>Sales</t>
  </si>
  <si>
    <t>Jan</t>
  </si>
  <si>
    <t>Feb</t>
  </si>
  <si>
    <t>March</t>
  </si>
  <si>
    <t>April</t>
  </si>
  <si>
    <t>May</t>
  </si>
  <si>
    <t>June</t>
  </si>
  <si>
    <t>July</t>
  </si>
  <si>
    <t>Students</t>
  </si>
  <si>
    <t>Excel</t>
  </si>
  <si>
    <t>SQL</t>
  </si>
  <si>
    <t>Python</t>
  </si>
  <si>
    <t>Abhi</t>
  </si>
  <si>
    <t>Rohit</t>
  </si>
  <si>
    <t>Calculate gst on price assuming it to be 18%?</t>
  </si>
  <si>
    <t>Calculate the price post gst assuming the current price column is raw price?</t>
  </si>
  <si>
    <t>Calculate the average price for diesel products only?</t>
  </si>
  <si>
    <t>GST</t>
  </si>
  <si>
    <t>POST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</si>
</sst>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right"/>
    </xf>
    <xf numFmtId="0" fontId="3" fillId="0" borderId="2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Sheet4!$B$1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Sheet4!$A$2:$A$8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Sheet4!$B$2:$B$8</c:f>
              <c:numCache>
                <c:formatCode>General</c:formatCode>
                <c:ptCount val="7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450</c:v>
                </c:pt>
                <c:pt idx="5">
                  <c:v>490</c:v>
                </c:pt>
                <c:pt idx="6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3F-452E-BC04-93FD30BBDA2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Sheet4!$A$2:$A$8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Sheet4!$B$2:$B$8</c:f>
              <c:numCache>
                <c:formatCode>General</c:formatCode>
                <c:ptCount val="7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450</c:v>
                </c:pt>
                <c:pt idx="5">
                  <c:v>490</c:v>
                </c:pt>
                <c:pt idx="6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5-4F9E-BB3B-2382833F769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422674447"/>
        <c:axId val="1422667247"/>
        <c:axId val="0"/>
      </c:bar3DChart>
      <c:catAx>
        <c:axId val="142267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667247"/>
        <c:crosses val="autoZero"/>
        <c:auto val="1"/>
        <c:lblAlgn val="ctr"/>
        <c:lblOffset val="100"/>
        <c:noMultiLvlLbl val="0"/>
      </c:catAx>
      <c:valAx>
        <c:axId val="142266724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2267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Sheet4!$A$1</c:f>
              <c:strCache>
                <c:ptCount val="1"/>
                <c:pt idx="0">
                  <c:v>Month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val>
            <c:numRef>
              <c:f>Sheet4!$A$2:$A$9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4F-447B-9D35-7658739E392D}"/>
            </c:ext>
          </c:extLst>
        </c:ser>
        <c:ser>
          <c:idx val="1"/>
          <c:order val="1"/>
          <c:tx>
            <c:strRef>
              <c:f>Sheet4!$B$1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val>
            <c:numRef>
              <c:f>Sheet4!$B$2:$B$9</c:f>
              <c:numCache>
                <c:formatCode>General</c:formatCode>
                <c:ptCount val="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450</c:v>
                </c:pt>
                <c:pt idx="5">
                  <c:v>490</c:v>
                </c:pt>
                <c:pt idx="6">
                  <c:v>560</c:v>
                </c:pt>
                <c:pt idx="7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4F-447B-9D35-7658739E3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645647"/>
        <c:axId val="1422640367"/>
        <c:axId val="1428026127"/>
      </c:line3DChart>
      <c:catAx>
        <c:axId val="142264564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640367"/>
        <c:crosses val="autoZero"/>
        <c:auto val="1"/>
        <c:lblAlgn val="ctr"/>
        <c:lblOffset val="100"/>
        <c:noMultiLvlLbl val="0"/>
      </c:catAx>
      <c:valAx>
        <c:axId val="142264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645647"/>
        <c:crosses val="autoZero"/>
        <c:crossBetween val="between"/>
      </c:valAx>
      <c:serAx>
        <c:axId val="142802612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640367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3</xdr:row>
      <xdr:rowOff>120650</xdr:rowOff>
    </xdr:from>
    <xdr:to>
      <xdr:col>9</xdr:col>
      <xdr:colOff>447675</xdr:colOff>
      <xdr:row>18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8BC8DC-011E-2C0C-0C8D-3CEE273E31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276225</xdr:colOff>
      <xdr:row>3</xdr:row>
      <xdr:rowOff>44450</xdr:rowOff>
    </xdr:from>
    <xdr:to>
      <xdr:col>17</xdr:col>
      <xdr:colOff>581025</xdr:colOff>
      <xdr:row>18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C3D53E-B267-E6DA-B9B5-253240192E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307975</xdr:colOff>
      <xdr:row>19</xdr:row>
      <xdr:rowOff>57150</xdr:rowOff>
    </xdr:from>
    <xdr:to>
      <xdr:col>11</xdr:col>
      <xdr:colOff>3175</xdr:colOff>
      <xdr:row>34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493360-C270-32A1-8924-F89559EC1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J1000"/>
  <sheetViews>
    <sheetView topLeftCell="O1" workbookViewId="0">
      <selection activeCell="Z65" sqref="Z65:Z205"/>
    </sheetView>
  </sheetViews>
  <sheetFormatPr defaultColWidth="14.453125" defaultRowHeight="15" customHeight="1" x14ac:dyDescent="0.35"/>
  <cols>
    <col min="1" max="1" width="6.1796875" bestFit="1" customWidth="1"/>
    <col min="2" max="2" width="9.26953125" bestFit="1" customWidth="1"/>
    <col min="3" max="3" width="26.81640625" bestFit="1" customWidth="1"/>
    <col min="4" max="4" width="7.6328125" bestFit="1" customWidth="1"/>
    <col min="5" max="5" width="9.1796875" bestFit="1" customWidth="1"/>
    <col min="6" max="6" width="11.453125" bestFit="1" customWidth="1"/>
    <col min="7" max="7" width="10.08984375" bestFit="1" customWidth="1"/>
    <col min="8" max="8" width="10" bestFit="1" customWidth="1"/>
    <col min="9" max="9" width="13.08984375" bestFit="1" customWidth="1"/>
    <col min="10" max="10" width="9.7265625" bestFit="1" customWidth="1"/>
    <col min="11" max="11" width="8.54296875" bestFit="1" customWidth="1"/>
    <col min="12" max="12" width="8.08984375" bestFit="1" customWidth="1"/>
    <col min="13" max="13" width="8.54296875" bestFit="1" customWidth="1"/>
    <col min="14" max="14" width="10.08984375" bestFit="1" customWidth="1"/>
    <col min="15" max="15" width="10" bestFit="1" customWidth="1"/>
    <col min="16" max="16" width="14.08984375" bestFit="1" customWidth="1"/>
    <col min="17" max="17" width="9.453125" bestFit="1" customWidth="1"/>
    <col min="18" max="18" width="9.81640625" bestFit="1" customWidth="1"/>
    <col min="19" max="19" width="8.6328125" bestFit="1" customWidth="1"/>
    <col min="20" max="20" width="6" bestFit="1" customWidth="1"/>
    <col min="21" max="21" width="15.453125" bestFit="1" customWidth="1"/>
    <col min="22" max="22" width="10.90625" bestFit="1" customWidth="1"/>
    <col min="23" max="23" width="8.26953125" bestFit="1" customWidth="1"/>
    <col min="24" max="24" width="7.26953125" bestFit="1" customWidth="1"/>
    <col min="25" max="25" width="11.36328125" bestFit="1" customWidth="1"/>
    <col min="26" max="26" width="9.81640625" bestFit="1" customWidth="1"/>
    <col min="27" max="27" width="19.54296875" bestFit="1" customWidth="1"/>
    <col min="28" max="28" width="15.26953125" bestFit="1" customWidth="1"/>
  </cols>
  <sheetData>
    <row r="1" spans="1:36" ht="14.2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7" t="s">
        <v>218</v>
      </c>
    </row>
    <row r="2" spans="1:36" ht="14.25" hidden="1" customHeight="1" x14ac:dyDescent="0.35">
      <c r="A2" s="3">
        <v>1</v>
      </c>
      <c r="B2" s="3">
        <v>3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>
        <v>88.6</v>
      </c>
      <c r="K2" s="3">
        <v>168.8</v>
      </c>
      <c r="L2" s="3">
        <v>64.099999999999994</v>
      </c>
      <c r="M2" s="3">
        <v>48.8</v>
      </c>
      <c r="N2" s="3">
        <v>2548</v>
      </c>
      <c r="O2" s="3" t="s">
        <v>33</v>
      </c>
      <c r="P2" s="3" t="s">
        <v>34</v>
      </c>
      <c r="Q2" s="3">
        <v>130</v>
      </c>
      <c r="R2" s="3" t="s">
        <v>35</v>
      </c>
      <c r="S2" s="3">
        <v>3.47</v>
      </c>
      <c r="T2" s="3">
        <v>2.68</v>
      </c>
      <c r="U2" s="3">
        <v>9</v>
      </c>
      <c r="V2" s="3">
        <v>111</v>
      </c>
      <c r="W2" s="3">
        <v>5000</v>
      </c>
      <c r="X2" s="3">
        <v>21</v>
      </c>
      <c r="Y2" s="3">
        <v>27</v>
      </c>
      <c r="Z2" s="3">
        <v>13495</v>
      </c>
      <c r="AA2">
        <f>Z2*0.9</f>
        <v>12145.5</v>
      </c>
      <c r="AB2">
        <f>SUM(Z2:Z206)</f>
        <v>2721725.6669999999</v>
      </c>
    </row>
    <row r="3" spans="1:36" ht="14.25" hidden="1" customHeight="1" x14ac:dyDescent="0.35">
      <c r="A3" s="3">
        <v>2</v>
      </c>
      <c r="B3" s="3">
        <v>3</v>
      </c>
      <c r="C3" s="3" t="s">
        <v>36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>
        <v>88.6</v>
      </c>
      <c r="K3" s="3">
        <v>168.8</v>
      </c>
      <c r="L3" s="3">
        <v>64.099999999999994</v>
      </c>
      <c r="M3" s="3">
        <v>48.8</v>
      </c>
      <c r="N3" s="3">
        <v>2548</v>
      </c>
      <c r="O3" s="3" t="s">
        <v>33</v>
      </c>
      <c r="P3" s="3" t="s">
        <v>34</v>
      </c>
      <c r="Q3" s="3">
        <v>130</v>
      </c>
      <c r="R3" s="3" t="s">
        <v>35</v>
      </c>
      <c r="S3" s="3">
        <v>3.47</v>
      </c>
      <c r="T3" s="3">
        <v>2.68</v>
      </c>
      <c r="U3" s="3">
        <v>9</v>
      </c>
      <c r="V3" s="3">
        <v>111</v>
      </c>
      <c r="W3" s="3">
        <v>5000</v>
      </c>
      <c r="X3" s="3">
        <v>21</v>
      </c>
      <c r="Y3" s="3">
        <v>27</v>
      </c>
      <c r="Z3" s="3">
        <v>16500</v>
      </c>
      <c r="AA3">
        <f>Z3*0.9</f>
        <v>14850</v>
      </c>
      <c r="AC3" s="4"/>
    </row>
    <row r="4" spans="1:36" ht="14.25" hidden="1" customHeight="1" x14ac:dyDescent="0.35">
      <c r="A4" s="3">
        <v>3</v>
      </c>
      <c r="B4" s="3">
        <v>1</v>
      </c>
      <c r="C4" s="3" t="s">
        <v>37</v>
      </c>
      <c r="D4" s="3" t="s">
        <v>27</v>
      </c>
      <c r="E4" s="3" t="s">
        <v>28</v>
      </c>
      <c r="F4" s="3" t="s">
        <v>29</v>
      </c>
      <c r="G4" s="3" t="s">
        <v>38</v>
      </c>
      <c r="H4" s="3" t="s">
        <v>31</v>
      </c>
      <c r="I4" s="3" t="s">
        <v>32</v>
      </c>
      <c r="J4" s="3">
        <v>94.5</v>
      </c>
      <c r="K4" s="3">
        <v>171.2</v>
      </c>
      <c r="L4" s="3">
        <v>65.5</v>
      </c>
      <c r="M4" s="3">
        <v>52.4</v>
      </c>
      <c r="N4" s="3">
        <v>2823</v>
      </c>
      <c r="O4" s="3" t="s">
        <v>39</v>
      </c>
      <c r="P4" s="3" t="s">
        <v>40</v>
      </c>
      <c r="Q4" s="3">
        <v>152</v>
      </c>
      <c r="R4" s="3" t="s">
        <v>35</v>
      </c>
      <c r="S4" s="3">
        <v>2.68</v>
      </c>
      <c r="T4" s="3">
        <v>3.47</v>
      </c>
      <c r="U4" s="3">
        <v>9</v>
      </c>
      <c r="V4" s="3">
        <v>154</v>
      </c>
      <c r="W4" s="3">
        <v>5000</v>
      </c>
      <c r="X4" s="3">
        <v>19</v>
      </c>
      <c r="Y4" s="3">
        <v>26</v>
      </c>
      <c r="Z4" s="3">
        <v>16500</v>
      </c>
      <c r="AA4">
        <f>Z4*0.9</f>
        <v>14850</v>
      </c>
      <c r="AC4" s="4"/>
      <c r="AF4">
        <f>10+20</f>
        <v>30</v>
      </c>
      <c r="AG4" s="5" t="s">
        <v>212</v>
      </c>
    </row>
    <row r="5" spans="1:36" ht="14.25" hidden="1" customHeight="1" x14ac:dyDescent="0.35">
      <c r="A5" s="3">
        <v>4</v>
      </c>
      <c r="B5" s="3">
        <v>2</v>
      </c>
      <c r="C5" s="3" t="s">
        <v>41</v>
      </c>
      <c r="D5" s="3" t="s">
        <v>27</v>
      </c>
      <c r="E5" s="3" t="s">
        <v>28</v>
      </c>
      <c r="F5" s="3" t="s">
        <v>34</v>
      </c>
      <c r="G5" s="3" t="s">
        <v>42</v>
      </c>
      <c r="H5" s="3" t="s">
        <v>43</v>
      </c>
      <c r="I5" s="3" t="s">
        <v>32</v>
      </c>
      <c r="J5" s="3">
        <v>99.8</v>
      </c>
      <c r="K5" s="3">
        <v>176.6</v>
      </c>
      <c r="L5" s="3">
        <v>66.2</v>
      </c>
      <c r="M5" s="3">
        <v>54.3</v>
      </c>
      <c r="N5" s="3">
        <v>2337</v>
      </c>
      <c r="O5" s="3" t="s">
        <v>44</v>
      </c>
      <c r="P5" s="3" t="s">
        <v>34</v>
      </c>
      <c r="Q5" s="3">
        <v>109</v>
      </c>
      <c r="R5" s="3" t="s">
        <v>35</v>
      </c>
      <c r="S5" s="3">
        <v>3.19</v>
      </c>
      <c r="T5" s="3">
        <v>3.4</v>
      </c>
      <c r="U5" s="3">
        <v>10</v>
      </c>
      <c r="V5" s="3">
        <v>102</v>
      </c>
      <c r="W5" s="3">
        <v>5500</v>
      </c>
      <c r="X5" s="3">
        <v>24</v>
      </c>
      <c r="Y5" s="3">
        <v>30</v>
      </c>
      <c r="Z5" s="3">
        <v>13950</v>
      </c>
      <c r="AA5">
        <f t="shared" ref="AA5:AA68" si="0">Z5*0.9</f>
        <v>12555</v>
      </c>
      <c r="AC5" s="4"/>
      <c r="AF5">
        <f>25*10</f>
        <v>250</v>
      </c>
      <c r="AG5" s="5" t="s">
        <v>213</v>
      </c>
      <c r="AJ5" s="6"/>
    </row>
    <row r="6" spans="1:36" ht="14.25" hidden="1" customHeight="1" x14ac:dyDescent="0.35">
      <c r="A6" s="3">
        <v>5</v>
      </c>
      <c r="B6" s="3">
        <v>2</v>
      </c>
      <c r="C6" s="3" t="s">
        <v>45</v>
      </c>
      <c r="D6" s="3" t="s">
        <v>27</v>
      </c>
      <c r="E6" s="3" t="s">
        <v>28</v>
      </c>
      <c r="F6" s="3" t="s">
        <v>34</v>
      </c>
      <c r="G6" s="3" t="s">
        <v>42</v>
      </c>
      <c r="H6" s="3" t="s">
        <v>46</v>
      </c>
      <c r="I6" s="3" t="s">
        <v>32</v>
      </c>
      <c r="J6" s="3">
        <v>99.4</v>
      </c>
      <c r="K6" s="3">
        <v>176.6</v>
      </c>
      <c r="L6" s="3">
        <v>66.400000000000006</v>
      </c>
      <c r="M6" s="3">
        <v>54.3</v>
      </c>
      <c r="N6" s="3">
        <v>2824</v>
      </c>
      <c r="O6" s="3" t="s">
        <v>44</v>
      </c>
      <c r="P6" s="3" t="s">
        <v>47</v>
      </c>
      <c r="Q6" s="3">
        <v>136</v>
      </c>
      <c r="R6" s="3" t="s">
        <v>35</v>
      </c>
      <c r="S6" s="3">
        <v>3.19</v>
      </c>
      <c r="T6" s="3">
        <v>3.4</v>
      </c>
      <c r="U6" s="3">
        <v>8</v>
      </c>
      <c r="V6" s="3">
        <v>115</v>
      </c>
      <c r="W6" s="3">
        <v>5500</v>
      </c>
      <c r="X6" s="3">
        <v>18</v>
      </c>
      <c r="Y6" s="3">
        <v>22</v>
      </c>
      <c r="Z6" s="3">
        <v>17450</v>
      </c>
      <c r="AA6">
        <f t="shared" si="0"/>
        <v>15705</v>
      </c>
      <c r="AC6" s="4">
        <v>2</v>
      </c>
      <c r="AF6">
        <f>35/5</f>
        <v>7</v>
      </c>
      <c r="AG6" s="5" t="s">
        <v>214</v>
      </c>
    </row>
    <row r="7" spans="1:36" ht="14.25" hidden="1" customHeight="1" x14ac:dyDescent="0.35">
      <c r="A7" s="3">
        <v>6</v>
      </c>
      <c r="B7" s="3">
        <v>2</v>
      </c>
      <c r="C7" s="3" t="s">
        <v>48</v>
      </c>
      <c r="D7" s="3" t="s">
        <v>27</v>
      </c>
      <c r="E7" s="3" t="s">
        <v>28</v>
      </c>
      <c r="F7" s="3" t="s">
        <v>29</v>
      </c>
      <c r="G7" s="3" t="s">
        <v>42</v>
      </c>
      <c r="H7" s="3" t="s">
        <v>43</v>
      </c>
      <c r="I7" s="3" t="s">
        <v>32</v>
      </c>
      <c r="J7" s="3">
        <v>99.8</v>
      </c>
      <c r="K7" s="3">
        <v>177.3</v>
      </c>
      <c r="L7" s="3">
        <v>66.3</v>
      </c>
      <c r="M7" s="3">
        <v>53.1</v>
      </c>
      <c r="N7" s="3">
        <v>2507</v>
      </c>
      <c r="O7" s="3" t="s">
        <v>44</v>
      </c>
      <c r="P7" s="3" t="s">
        <v>47</v>
      </c>
      <c r="Q7" s="3">
        <v>136</v>
      </c>
      <c r="R7" s="3" t="s">
        <v>35</v>
      </c>
      <c r="S7" s="3">
        <v>3.19</v>
      </c>
      <c r="T7" s="3">
        <v>3.4</v>
      </c>
      <c r="U7" s="3">
        <v>8.5</v>
      </c>
      <c r="V7" s="3">
        <v>110</v>
      </c>
      <c r="W7" s="3">
        <v>5500</v>
      </c>
      <c r="X7" s="3">
        <v>19</v>
      </c>
      <c r="Y7" s="3">
        <v>25</v>
      </c>
      <c r="Z7" s="3">
        <v>15250</v>
      </c>
      <c r="AA7">
        <f t="shared" si="0"/>
        <v>13725</v>
      </c>
      <c r="AC7" s="4">
        <v>4</v>
      </c>
      <c r="AF7">
        <f>88*7153215</f>
        <v>629482920</v>
      </c>
      <c r="AG7" s="5" t="s">
        <v>215</v>
      </c>
    </row>
    <row r="8" spans="1:36" ht="14.25" hidden="1" customHeight="1" x14ac:dyDescent="0.35">
      <c r="A8" s="3">
        <v>7</v>
      </c>
      <c r="B8" s="3">
        <v>1</v>
      </c>
      <c r="C8" s="3" t="s">
        <v>45</v>
      </c>
      <c r="D8" s="3" t="s">
        <v>27</v>
      </c>
      <c r="E8" s="3" t="s">
        <v>28</v>
      </c>
      <c r="F8" s="3" t="s">
        <v>34</v>
      </c>
      <c r="G8" s="3" t="s">
        <v>42</v>
      </c>
      <c r="H8" s="3" t="s">
        <v>43</v>
      </c>
      <c r="I8" s="3" t="s">
        <v>32</v>
      </c>
      <c r="J8" s="3">
        <v>105.8</v>
      </c>
      <c r="K8" s="3">
        <v>192.7</v>
      </c>
      <c r="L8" s="3">
        <v>71.400000000000006</v>
      </c>
      <c r="M8" s="3">
        <v>55.7</v>
      </c>
      <c r="N8" s="3">
        <v>2844</v>
      </c>
      <c r="O8" s="3" t="s">
        <v>44</v>
      </c>
      <c r="P8" s="3" t="s">
        <v>47</v>
      </c>
      <c r="Q8" s="3">
        <v>136</v>
      </c>
      <c r="R8" s="3" t="s">
        <v>35</v>
      </c>
      <c r="S8" s="3">
        <v>3.19</v>
      </c>
      <c r="T8" s="3">
        <v>3.4</v>
      </c>
      <c r="U8" s="3">
        <v>8.5</v>
      </c>
      <c r="V8" s="3">
        <v>110</v>
      </c>
      <c r="W8" s="3">
        <v>5500</v>
      </c>
      <c r="X8" s="3">
        <v>19</v>
      </c>
      <c r="Y8" s="3">
        <v>25</v>
      </c>
      <c r="Z8" s="3">
        <v>17710</v>
      </c>
      <c r="AA8">
        <f t="shared" si="0"/>
        <v>15939</v>
      </c>
      <c r="AC8" s="4">
        <v>5</v>
      </c>
    </row>
    <row r="9" spans="1:36" ht="14.25" hidden="1" customHeight="1" x14ac:dyDescent="0.35">
      <c r="A9" s="3">
        <v>8</v>
      </c>
      <c r="B9" s="3">
        <v>1</v>
      </c>
      <c r="C9" s="3" t="s">
        <v>49</v>
      </c>
      <c r="D9" s="3" t="s">
        <v>27</v>
      </c>
      <c r="E9" s="3" t="s">
        <v>28</v>
      </c>
      <c r="F9" s="3" t="s">
        <v>34</v>
      </c>
      <c r="G9" s="3" t="s">
        <v>50</v>
      </c>
      <c r="H9" s="3" t="s">
        <v>43</v>
      </c>
      <c r="I9" s="3" t="s">
        <v>32</v>
      </c>
      <c r="J9" s="3">
        <v>105.8</v>
      </c>
      <c r="K9" s="3">
        <v>192.7</v>
      </c>
      <c r="L9" s="3">
        <v>71.400000000000006</v>
      </c>
      <c r="M9" s="3">
        <v>55.7</v>
      </c>
      <c r="N9" s="3">
        <v>2954</v>
      </c>
      <c r="O9" s="3" t="s">
        <v>44</v>
      </c>
      <c r="P9" s="3" t="s">
        <v>47</v>
      </c>
      <c r="Q9" s="3">
        <v>136</v>
      </c>
      <c r="R9" s="3" t="s">
        <v>35</v>
      </c>
      <c r="S9" s="3">
        <v>3.19</v>
      </c>
      <c r="T9" s="3">
        <v>3.4</v>
      </c>
      <c r="U9" s="3">
        <v>8.5</v>
      </c>
      <c r="V9" s="3">
        <v>110</v>
      </c>
      <c r="W9" s="3">
        <v>5500</v>
      </c>
      <c r="X9" s="3">
        <v>19</v>
      </c>
      <c r="Y9" s="3">
        <v>25</v>
      </c>
      <c r="Z9" s="3">
        <v>18920</v>
      </c>
      <c r="AA9">
        <f t="shared" si="0"/>
        <v>17028</v>
      </c>
      <c r="AC9" s="4">
        <v>8</v>
      </c>
    </row>
    <row r="10" spans="1:36" ht="14.25" hidden="1" customHeight="1" x14ac:dyDescent="0.35">
      <c r="A10" s="3">
        <v>9</v>
      </c>
      <c r="B10" s="3">
        <v>1</v>
      </c>
      <c r="C10" s="3" t="s">
        <v>51</v>
      </c>
      <c r="D10" s="3" t="s">
        <v>27</v>
      </c>
      <c r="E10" s="3" t="s">
        <v>52</v>
      </c>
      <c r="F10" s="3" t="s">
        <v>34</v>
      </c>
      <c r="G10" s="3" t="s">
        <v>42</v>
      </c>
      <c r="H10" s="3" t="s">
        <v>43</v>
      </c>
      <c r="I10" s="3" t="s">
        <v>32</v>
      </c>
      <c r="J10" s="3">
        <v>105.8</v>
      </c>
      <c r="K10" s="3">
        <v>192.7</v>
      </c>
      <c r="L10" s="3">
        <v>71.400000000000006</v>
      </c>
      <c r="M10" s="3">
        <v>55.9</v>
      </c>
      <c r="N10" s="3">
        <v>3086</v>
      </c>
      <c r="O10" s="3" t="s">
        <v>44</v>
      </c>
      <c r="P10" s="3" t="s">
        <v>47</v>
      </c>
      <c r="Q10" s="3">
        <v>131</v>
      </c>
      <c r="R10" s="3" t="s">
        <v>35</v>
      </c>
      <c r="S10" s="3">
        <v>3.13</v>
      </c>
      <c r="T10" s="3">
        <v>3.4</v>
      </c>
      <c r="U10" s="3">
        <v>8.3000000000000007</v>
      </c>
      <c r="V10" s="3">
        <v>140</v>
      </c>
      <c r="W10" s="3">
        <v>5500</v>
      </c>
      <c r="X10" s="3">
        <v>17</v>
      </c>
      <c r="Y10" s="3">
        <v>20</v>
      </c>
      <c r="Z10" s="3">
        <v>23875</v>
      </c>
      <c r="AA10">
        <f t="shared" si="0"/>
        <v>21487.5</v>
      </c>
      <c r="AC10" s="4">
        <v>1</v>
      </c>
    </row>
    <row r="11" spans="1:36" ht="14.25" hidden="1" customHeight="1" x14ac:dyDescent="0.35">
      <c r="A11" s="3">
        <v>10</v>
      </c>
      <c r="B11" s="3">
        <v>0</v>
      </c>
      <c r="C11" s="3" t="s">
        <v>53</v>
      </c>
      <c r="D11" s="3" t="s">
        <v>27</v>
      </c>
      <c r="E11" s="3" t="s">
        <v>52</v>
      </c>
      <c r="F11" s="3" t="s">
        <v>29</v>
      </c>
      <c r="G11" s="3" t="s">
        <v>38</v>
      </c>
      <c r="H11" s="3" t="s">
        <v>46</v>
      </c>
      <c r="I11" s="3" t="s">
        <v>32</v>
      </c>
      <c r="J11" s="3">
        <v>99.5</v>
      </c>
      <c r="K11" s="3">
        <v>178.2</v>
      </c>
      <c r="L11" s="3">
        <v>67.900000000000006</v>
      </c>
      <c r="M11" s="3">
        <v>52</v>
      </c>
      <c r="N11" s="3">
        <v>3053</v>
      </c>
      <c r="O11" s="3" t="s">
        <v>44</v>
      </c>
      <c r="P11" s="3" t="s">
        <v>47</v>
      </c>
      <c r="Q11" s="3">
        <v>131</v>
      </c>
      <c r="R11" s="3" t="s">
        <v>35</v>
      </c>
      <c r="S11" s="3">
        <v>3.13</v>
      </c>
      <c r="T11" s="3">
        <v>3.4</v>
      </c>
      <c r="U11" s="3">
        <v>7</v>
      </c>
      <c r="V11" s="3">
        <v>160</v>
      </c>
      <c r="W11" s="3">
        <v>5500</v>
      </c>
      <c r="X11" s="3">
        <v>16</v>
      </c>
      <c r="Y11" s="3">
        <v>22</v>
      </c>
      <c r="Z11" s="3">
        <v>17859.167000000001</v>
      </c>
      <c r="AA11">
        <f t="shared" si="0"/>
        <v>16073.250300000002</v>
      </c>
      <c r="AC11" s="4">
        <v>4</v>
      </c>
    </row>
    <row r="12" spans="1:36" ht="14.25" hidden="1" customHeight="1" x14ac:dyDescent="0.35">
      <c r="A12" s="3">
        <v>11</v>
      </c>
      <c r="B12" s="3">
        <v>2</v>
      </c>
      <c r="C12" s="3" t="s">
        <v>54</v>
      </c>
      <c r="D12" s="3" t="s">
        <v>27</v>
      </c>
      <c r="E12" s="3" t="s">
        <v>28</v>
      </c>
      <c r="F12" s="3" t="s">
        <v>29</v>
      </c>
      <c r="G12" s="3" t="s">
        <v>42</v>
      </c>
      <c r="H12" s="3" t="s">
        <v>31</v>
      </c>
      <c r="I12" s="3" t="s">
        <v>32</v>
      </c>
      <c r="J12" s="3">
        <v>101.2</v>
      </c>
      <c r="K12" s="3">
        <v>176.8</v>
      </c>
      <c r="L12" s="3">
        <v>64.8</v>
      </c>
      <c r="M12" s="3">
        <v>54.3</v>
      </c>
      <c r="N12" s="3">
        <v>2395</v>
      </c>
      <c r="O12" s="3" t="s">
        <v>44</v>
      </c>
      <c r="P12" s="3" t="s">
        <v>34</v>
      </c>
      <c r="Q12" s="3">
        <v>108</v>
      </c>
      <c r="R12" s="3" t="s">
        <v>35</v>
      </c>
      <c r="S12" s="3">
        <v>3.5</v>
      </c>
      <c r="T12" s="3">
        <v>2.8</v>
      </c>
      <c r="U12" s="3">
        <v>8.8000000000000007</v>
      </c>
      <c r="V12" s="3">
        <v>101</v>
      </c>
      <c r="W12" s="3">
        <v>5800</v>
      </c>
      <c r="X12" s="3">
        <v>23</v>
      </c>
      <c r="Y12" s="3">
        <v>29</v>
      </c>
      <c r="Z12" s="3">
        <v>16430</v>
      </c>
      <c r="AA12">
        <f t="shared" si="0"/>
        <v>14787</v>
      </c>
      <c r="AC12" s="4">
        <v>5</v>
      </c>
    </row>
    <row r="13" spans="1:36" ht="14.25" hidden="1" customHeight="1" x14ac:dyDescent="0.35">
      <c r="A13" s="3">
        <v>12</v>
      </c>
      <c r="B13" s="3">
        <v>0</v>
      </c>
      <c r="C13" s="3" t="s">
        <v>54</v>
      </c>
      <c r="D13" s="3" t="s">
        <v>27</v>
      </c>
      <c r="E13" s="3" t="s">
        <v>28</v>
      </c>
      <c r="F13" s="3" t="s">
        <v>34</v>
      </c>
      <c r="G13" s="3" t="s">
        <v>42</v>
      </c>
      <c r="H13" s="3" t="s">
        <v>31</v>
      </c>
      <c r="I13" s="3" t="s">
        <v>32</v>
      </c>
      <c r="J13" s="3">
        <v>101.2</v>
      </c>
      <c r="K13" s="3">
        <v>176.8</v>
      </c>
      <c r="L13" s="3">
        <v>64.8</v>
      </c>
      <c r="M13" s="3">
        <v>54.3</v>
      </c>
      <c r="N13" s="3">
        <v>2395</v>
      </c>
      <c r="O13" s="3" t="s">
        <v>44</v>
      </c>
      <c r="P13" s="3" t="s">
        <v>34</v>
      </c>
      <c r="Q13" s="3">
        <v>108</v>
      </c>
      <c r="R13" s="3" t="s">
        <v>35</v>
      </c>
      <c r="S13" s="3">
        <v>3.5</v>
      </c>
      <c r="T13" s="3">
        <v>2.8</v>
      </c>
      <c r="U13" s="3">
        <v>8.8000000000000007</v>
      </c>
      <c r="V13" s="3">
        <v>101</v>
      </c>
      <c r="W13" s="3">
        <v>5800</v>
      </c>
      <c r="X13" s="3">
        <v>23</v>
      </c>
      <c r="Y13" s="3">
        <v>29</v>
      </c>
      <c r="Z13" s="3">
        <v>16925</v>
      </c>
      <c r="AA13">
        <f t="shared" si="0"/>
        <v>15232.5</v>
      </c>
      <c r="AB13" s="5" t="s">
        <v>209</v>
      </c>
      <c r="AC13">
        <f>SUM(AC6,AC7,AC8,AC9,AC10,AC11,AC12)</f>
        <v>29</v>
      </c>
      <c r="AD13">
        <f>SUM(AC6:AC12)</f>
        <v>29</v>
      </c>
    </row>
    <row r="14" spans="1:36" ht="14.25" hidden="1" customHeight="1" x14ac:dyDescent="0.35">
      <c r="A14" s="3">
        <v>13</v>
      </c>
      <c r="B14" s="3">
        <v>0</v>
      </c>
      <c r="C14" s="3" t="s">
        <v>55</v>
      </c>
      <c r="D14" s="3" t="s">
        <v>27</v>
      </c>
      <c r="E14" s="3" t="s">
        <v>28</v>
      </c>
      <c r="F14" s="3" t="s">
        <v>29</v>
      </c>
      <c r="G14" s="3" t="s">
        <v>42</v>
      </c>
      <c r="H14" s="3" t="s">
        <v>31</v>
      </c>
      <c r="I14" s="3" t="s">
        <v>32</v>
      </c>
      <c r="J14" s="3">
        <v>101.2</v>
      </c>
      <c r="K14" s="3">
        <v>176.8</v>
      </c>
      <c r="L14" s="3">
        <v>64.8</v>
      </c>
      <c r="M14" s="3">
        <v>54.3</v>
      </c>
      <c r="N14" s="3">
        <v>2710</v>
      </c>
      <c r="O14" s="3" t="s">
        <v>44</v>
      </c>
      <c r="P14" s="3" t="s">
        <v>40</v>
      </c>
      <c r="Q14" s="3">
        <v>164</v>
      </c>
      <c r="R14" s="3" t="s">
        <v>35</v>
      </c>
      <c r="S14" s="3">
        <v>3.31</v>
      </c>
      <c r="T14" s="3">
        <v>3.19</v>
      </c>
      <c r="U14" s="3">
        <v>9</v>
      </c>
      <c r="V14" s="3">
        <v>121</v>
      </c>
      <c r="W14" s="3">
        <v>4250</v>
      </c>
      <c r="X14" s="3">
        <v>21</v>
      </c>
      <c r="Y14" s="3">
        <v>28</v>
      </c>
      <c r="Z14" s="3">
        <v>20970</v>
      </c>
      <c r="AA14">
        <f t="shared" si="0"/>
        <v>18873</v>
      </c>
      <c r="AB14" s="5" t="s">
        <v>210</v>
      </c>
      <c r="AC14">
        <f>AVERAGE(AC6,AC7,AC8,AC9,AC10,AC11,AC12)</f>
        <v>4.1428571428571432</v>
      </c>
      <c r="AD14">
        <f>AVERAGE(AC6:AC12)</f>
        <v>4.1428571428571432</v>
      </c>
    </row>
    <row r="15" spans="1:36" ht="14.25" hidden="1" customHeight="1" x14ac:dyDescent="0.35">
      <c r="A15" s="3">
        <v>14</v>
      </c>
      <c r="B15" s="3">
        <v>0</v>
      </c>
      <c r="C15" s="3" t="s">
        <v>56</v>
      </c>
      <c r="D15" s="3" t="s">
        <v>27</v>
      </c>
      <c r="E15" s="3" t="s">
        <v>28</v>
      </c>
      <c r="F15" s="3" t="s">
        <v>34</v>
      </c>
      <c r="G15" s="3" t="s">
        <v>42</v>
      </c>
      <c r="H15" s="3" t="s">
        <v>31</v>
      </c>
      <c r="I15" s="3" t="s">
        <v>32</v>
      </c>
      <c r="J15" s="3">
        <v>101.2</v>
      </c>
      <c r="K15" s="3">
        <v>176.8</v>
      </c>
      <c r="L15" s="3">
        <v>64.8</v>
      </c>
      <c r="M15" s="3">
        <v>54.3</v>
      </c>
      <c r="N15" s="3">
        <v>2765</v>
      </c>
      <c r="O15" s="3" t="s">
        <v>44</v>
      </c>
      <c r="P15" s="3" t="s">
        <v>40</v>
      </c>
      <c r="Q15" s="3">
        <v>164</v>
      </c>
      <c r="R15" s="3" t="s">
        <v>35</v>
      </c>
      <c r="S15" s="3">
        <v>3.31</v>
      </c>
      <c r="T15" s="3">
        <v>3.19</v>
      </c>
      <c r="U15" s="3">
        <v>9</v>
      </c>
      <c r="V15" s="3">
        <v>121</v>
      </c>
      <c r="W15" s="3">
        <v>4250</v>
      </c>
      <c r="X15" s="3">
        <v>21</v>
      </c>
      <c r="Y15" s="3">
        <v>28</v>
      </c>
      <c r="Z15" s="3">
        <v>21105</v>
      </c>
      <c r="AA15">
        <f t="shared" si="0"/>
        <v>18994.5</v>
      </c>
      <c r="AB15" s="5" t="s">
        <v>211</v>
      </c>
      <c r="AC15">
        <f>COUNT(AC6:AC12)</f>
        <v>7</v>
      </c>
    </row>
    <row r="16" spans="1:36" ht="14.25" hidden="1" customHeight="1" x14ac:dyDescent="0.35">
      <c r="A16" s="3">
        <v>15</v>
      </c>
      <c r="B16" s="3">
        <v>1</v>
      </c>
      <c r="C16" s="3" t="s">
        <v>57</v>
      </c>
      <c r="D16" s="3" t="s">
        <v>27</v>
      </c>
      <c r="E16" s="3" t="s">
        <v>28</v>
      </c>
      <c r="F16" s="3" t="s">
        <v>34</v>
      </c>
      <c r="G16" s="3" t="s">
        <v>42</v>
      </c>
      <c r="H16" s="3" t="s">
        <v>31</v>
      </c>
      <c r="I16" s="3" t="s">
        <v>32</v>
      </c>
      <c r="J16" s="3">
        <v>103.5</v>
      </c>
      <c r="K16" s="3">
        <v>189</v>
      </c>
      <c r="L16" s="3">
        <v>66.900000000000006</v>
      </c>
      <c r="M16" s="3">
        <v>55.7</v>
      </c>
      <c r="N16" s="3">
        <v>3055</v>
      </c>
      <c r="O16" s="3" t="s">
        <v>44</v>
      </c>
      <c r="P16" s="3" t="s">
        <v>40</v>
      </c>
      <c r="Q16" s="3">
        <v>164</v>
      </c>
      <c r="R16" s="3" t="s">
        <v>35</v>
      </c>
      <c r="S16" s="3">
        <v>3.31</v>
      </c>
      <c r="T16" s="3">
        <v>3.19</v>
      </c>
      <c r="U16" s="3">
        <v>9</v>
      </c>
      <c r="V16" s="3">
        <v>121</v>
      </c>
      <c r="W16" s="3">
        <v>4250</v>
      </c>
      <c r="X16" s="3">
        <v>20</v>
      </c>
      <c r="Y16" s="3">
        <v>25</v>
      </c>
      <c r="Z16" s="3">
        <v>24565</v>
      </c>
      <c r="AA16">
        <f t="shared" si="0"/>
        <v>22108.5</v>
      </c>
    </row>
    <row r="17" spans="1:27" ht="14.25" hidden="1" customHeight="1" x14ac:dyDescent="0.35">
      <c r="A17" s="3">
        <v>16</v>
      </c>
      <c r="B17" s="3">
        <v>0</v>
      </c>
      <c r="C17" s="3" t="s">
        <v>58</v>
      </c>
      <c r="D17" s="3" t="s">
        <v>27</v>
      </c>
      <c r="E17" s="3" t="s">
        <v>28</v>
      </c>
      <c r="F17" s="3" t="s">
        <v>34</v>
      </c>
      <c r="G17" s="3" t="s">
        <v>42</v>
      </c>
      <c r="H17" s="3" t="s">
        <v>31</v>
      </c>
      <c r="I17" s="3" t="s">
        <v>32</v>
      </c>
      <c r="J17" s="3">
        <v>103.5</v>
      </c>
      <c r="K17" s="3">
        <v>189</v>
      </c>
      <c r="L17" s="3">
        <v>66.900000000000006</v>
      </c>
      <c r="M17" s="3">
        <v>55.7</v>
      </c>
      <c r="N17" s="3">
        <v>3230</v>
      </c>
      <c r="O17" s="3" t="s">
        <v>44</v>
      </c>
      <c r="P17" s="3" t="s">
        <v>40</v>
      </c>
      <c r="Q17" s="3">
        <v>209</v>
      </c>
      <c r="R17" s="3" t="s">
        <v>35</v>
      </c>
      <c r="S17" s="3">
        <v>3.62</v>
      </c>
      <c r="T17" s="3">
        <v>3.39</v>
      </c>
      <c r="U17" s="3">
        <v>8</v>
      </c>
      <c r="V17" s="3">
        <v>182</v>
      </c>
      <c r="W17" s="3">
        <v>5400</v>
      </c>
      <c r="X17" s="3">
        <v>16</v>
      </c>
      <c r="Y17" s="3">
        <v>22</v>
      </c>
      <c r="Z17" s="3">
        <v>30760</v>
      </c>
      <c r="AA17">
        <f t="shared" si="0"/>
        <v>27684</v>
      </c>
    </row>
    <row r="18" spans="1:27" ht="14.25" hidden="1" customHeight="1" x14ac:dyDescent="0.35">
      <c r="A18" s="3">
        <v>17</v>
      </c>
      <c r="B18" s="3">
        <v>0</v>
      </c>
      <c r="C18" s="3" t="s">
        <v>59</v>
      </c>
      <c r="D18" s="3" t="s">
        <v>27</v>
      </c>
      <c r="E18" s="3" t="s">
        <v>28</v>
      </c>
      <c r="F18" s="3" t="s">
        <v>29</v>
      </c>
      <c r="G18" s="3" t="s">
        <v>42</v>
      </c>
      <c r="H18" s="3" t="s">
        <v>31</v>
      </c>
      <c r="I18" s="3" t="s">
        <v>32</v>
      </c>
      <c r="J18" s="3">
        <v>103.5</v>
      </c>
      <c r="K18" s="3">
        <v>193.8</v>
      </c>
      <c r="L18" s="3">
        <v>67.900000000000006</v>
      </c>
      <c r="M18" s="3">
        <v>53.7</v>
      </c>
      <c r="N18" s="3">
        <v>3380</v>
      </c>
      <c r="O18" s="3" t="s">
        <v>44</v>
      </c>
      <c r="P18" s="3" t="s">
        <v>40</v>
      </c>
      <c r="Q18" s="3">
        <v>209</v>
      </c>
      <c r="R18" s="3" t="s">
        <v>35</v>
      </c>
      <c r="S18" s="3">
        <v>3.62</v>
      </c>
      <c r="T18" s="3">
        <v>3.39</v>
      </c>
      <c r="U18" s="3">
        <v>8</v>
      </c>
      <c r="V18" s="3">
        <v>182</v>
      </c>
      <c r="W18" s="3">
        <v>5400</v>
      </c>
      <c r="X18" s="3">
        <v>16</v>
      </c>
      <c r="Y18" s="3">
        <v>22</v>
      </c>
      <c r="Z18" s="3">
        <v>41315</v>
      </c>
      <c r="AA18">
        <f t="shared" si="0"/>
        <v>37183.5</v>
      </c>
    </row>
    <row r="19" spans="1:27" ht="14.25" hidden="1" customHeight="1" x14ac:dyDescent="0.35">
      <c r="A19" s="3">
        <v>18</v>
      </c>
      <c r="B19" s="3">
        <v>0</v>
      </c>
      <c r="C19" s="3" t="s">
        <v>56</v>
      </c>
      <c r="D19" s="3" t="s">
        <v>27</v>
      </c>
      <c r="E19" s="3" t="s">
        <v>28</v>
      </c>
      <c r="F19" s="3" t="s">
        <v>34</v>
      </c>
      <c r="G19" s="3" t="s">
        <v>42</v>
      </c>
      <c r="H19" s="3" t="s">
        <v>31</v>
      </c>
      <c r="I19" s="3" t="s">
        <v>32</v>
      </c>
      <c r="J19" s="3">
        <v>110</v>
      </c>
      <c r="K19" s="3">
        <v>197</v>
      </c>
      <c r="L19" s="3">
        <v>70.900000000000006</v>
      </c>
      <c r="M19" s="3">
        <v>56.3</v>
      </c>
      <c r="N19" s="3">
        <v>3505</v>
      </c>
      <c r="O19" s="3" t="s">
        <v>44</v>
      </c>
      <c r="P19" s="3" t="s">
        <v>40</v>
      </c>
      <c r="Q19" s="3">
        <v>209</v>
      </c>
      <c r="R19" s="3" t="s">
        <v>35</v>
      </c>
      <c r="S19" s="3">
        <v>3.62</v>
      </c>
      <c r="T19" s="3">
        <v>3.39</v>
      </c>
      <c r="U19" s="3">
        <v>8</v>
      </c>
      <c r="V19" s="3">
        <v>182</v>
      </c>
      <c r="W19" s="3">
        <v>5400</v>
      </c>
      <c r="X19" s="3">
        <v>15</v>
      </c>
      <c r="Y19" s="3">
        <v>20</v>
      </c>
      <c r="Z19" s="3">
        <v>36880</v>
      </c>
      <c r="AA19">
        <f t="shared" si="0"/>
        <v>33192</v>
      </c>
    </row>
    <row r="20" spans="1:27" ht="14.25" hidden="1" customHeight="1" x14ac:dyDescent="0.35">
      <c r="A20" s="3">
        <v>19</v>
      </c>
      <c r="B20" s="3">
        <v>2</v>
      </c>
      <c r="C20" s="3" t="s">
        <v>60</v>
      </c>
      <c r="D20" s="3" t="s">
        <v>27</v>
      </c>
      <c r="E20" s="3" t="s">
        <v>28</v>
      </c>
      <c r="F20" s="3" t="s">
        <v>29</v>
      </c>
      <c r="G20" s="3" t="s">
        <v>38</v>
      </c>
      <c r="H20" s="3" t="s">
        <v>43</v>
      </c>
      <c r="I20" s="3" t="s">
        <v>32</v>
      </c>
      <c r="J20" s="3">
        <v>88.4</v>
      </c>
      <c r="K20" s="3">
        <v>141.1</v>
      </c>
      <c r="L20" s="3">
        <v>60.3</v>
      </c>
      <c r="M20" s="3">
        <v>53.2</v>
      </c>
      <c r="N20" s="3">
        <v>1488</v>
      </c>
      <c r="O20" s="3" t="s">
        <v>61</v>
      </c>
      <c r="P20" s="3" t="s">
        <v>62</v>
      </c>
      <c r="Q20" s="3">
        <v>61</v>
      </c>
      <c r="R20" s="3" t="s">
        <v>63</v>
      </c>
      <c r="S20" s="3">
        <v>2.91</v>
      </c>
      <c r="T20" s="3">
        <v>3.03</v>
      </c>
      <c r="U20" s="3">
        <v>9.5</v>
      </c>
      <c r="V20" s="3">
        <v>48</v>
      </c>
      <c r="W20" s="3">
        <v>5100</v>
      </c>
      <c r="X20" s="3">
        <v>47</v>
      </c>
      <c r="Y20" s="3">
        <v>53</v>
      </c>
      <c r="Z20" s="3">
        <v>5151</v>
      </c>
      <c r="AA20">
        <f t="shared" si="0"/>
        <v>4635.9000000000005</v>
      </c>
    </row>
    <row r="21" spans="1:27" ht="14.25" hidden="1" customHeight="1" x14ac:dyDescent="0.35">
      <c r="A21" s="3">
        <v>20</v>
      </c>
      <c r="B21" s="3">
        <v>1</v>
      </c>
      <c r="C21" s="3" t="s">
        <v>64</v>
      </c>
      <c r="D21" s="3" t="s">
        <v>27</v>
      </c>
      <c r="E21" s="3" t="s">
        <v>28</v>
      </c>
      <c r="F21" s="3" t="s">
        <v>29</v>
      </c>
      <c r="G21" s="3" t="s">
        <v>38</v>
      </c>
      <c r="H21" s="3" t="s">
        <v>43</v>
      </c>
      <c r="I21" s="3" t="s">
        <v>32</v>
      </c>
      <c r="J21" s="3">
        <v>94.5</v>
      </c>
      <c r="K21" s="3">
        <v>155.9</v>
      </c>
      <c r="L21" s="3">
        <v>63.6</v>
      </c>
      <c r="M21" s="3">
        <v>52</v>
      </c>
      <c r="N21" s="3">
        <v>1874</v>
      </c>
      <c r="O21" s="3" t="s">
        <v>44</v>
      </c>
      <c r="P21" s="3" t="s">
        <v>34</v>
      </c>
      <c r="Q21" s="3">
        <v>90</v>
      </c>
      <c r="R21" s="3" t="s">
        <v>63</v>
      </c>
      <c r="S21" s="3">
        <v>3.03</v>
      </c>
      <c r="T21" s="3">
        <v>3.11</v>
      </c>
      <c r="U21" s="3">
        <v>9.6</v>
      </c>
      <c r="V21" s="3">
        <v>70</v>
      </c>
      <c r="W21" s="3">
        <v>5400</v>
      </c>
      <c r="X21" s="3">
        <v>38</v>
      </c>
      <c r="Y21" s="3">
        <v>43</v>
      </c>
      <c r="Z21" s="3">
        <v>6295</v>
      </c>
      <c r="AA21">
        <f t="shared" si="0"/>
        <v>5665.5</v>
      </c>
    </row>
    <row r="22" spans="1:27" ht="14.25" hidden="1" customHeight="1" x14ac:dyDescent="0.35">
      <c r="A22" s="3">
        <v>21</v>
      </c>
      <c r="B22" s="3">
        <v>0</v>
      </c>
      <c r="C22" s="3" t="s">
        <v>65</v>
      </c>
      <c r="D22" s="3" t="s">
        <v>27</v>
      </c>
      <c r="E22" s="3" t="s">
        <v>28</v>
      </c>
      <c r="F22" s="3" t="s">
        <v>34</v>
      </c>
      <c r="G22" s="3" t="s">
        <v>42</v>
      </c>
      <c r="H22" s="3" t="s">
        <v>43</v>
      </c>
      <c r="I22" s="3" t="s">
        <v>32</v>
      </c>
      <c r="J22" s="3">
        <v>94.5</v>
      </c>
      <c r="K22" s="3">
        <v>158.80000000000001</v>
      </c>
      <c r="L22" s="3">
        <v>63.6</v>
      </c>
      <c r="M22" s="3">
        <v>52</v>
      </c>
      <c r="N22" s="3">
        <v>1909</v>
      </c>
      <c r="O22" s="3" t="s">
        <v>44</v>
      </c>
      <c r="P22" s="3" t="s">
        <v>34</v>
      </c>
      <c r="Q22" s="3">
        <v>90</v>
      </c>
      <c r="R22" s="3" t="s">
        <v>63</v>
      </c>
      <c r="S22" s="3">
        <v>3.03</v>
      </c>
      <c r="T22" s="3">
        <v>3.11</v>
      </c>
      <c r="U22" s="3">
        <v>9.6</v>
      </c>
      <c r="V22" s="3">
        <v>70</v>
      </c>
      <c r="W22" s="3">
        <v>5400</v>
      </c>
      <c r="X22" s="3">
        <v>38</v>
      </c>
      <c r="Y22" s="3">
        <v>43</v>
      </c>
      <c r="Z22" s="3">
        <v>6575</v>
      </c>
      <c r="AA22">
        <f t="shared" si="0"/>
        <v>5917.5</v>
      </c>
    </row>
    <row r="23" spans="1:27" ht="14.25" hidden="1" customHeight="1" x14ac:dyDescent="0.35">
      <c r="A23" s="3">
        <v>22</v>
      </c>
      <c r="B23" s="3">
        <v>1</v>
      </c>
      <c r="C23" s="3" t="s">
        <v>66</v>
      </c>
      <c r="D23" s="3" t="s">
        <v>27</v>
      </c>
      <c r="E23" s="3" t="s">
        <v>28</v>
      </c>
      <c r="F23" s="3" t="s">
        <v>29</v>
      </c>
      <c r="G23" s="3" t="s">
        <v>38</v>
      </c>
      <c r="H23" s="3" t="s">
        <v>43</v>
      </c>
      <c r="I23" s="3" t="s">
        <v>32</v>
      </c>
      <c r="J23" s="3">
        <v>93.7</v>
      </c>
      <c r="K23" s="3">
        <v>157.30000000000001</v>
      </c>
      <c r="L23" s="3">
        <v>63.8</v>
      </c>
      <c r="M23" s="3">
        <v>50.8</v>
      </c>
      <c r="N23" s="3">
        <v>1876</v>
      </c>
      <c r="O23" s="3" t="s">
        <v>44</v>
      </c>
      <c r="P23" s="3" t="s">
        <v>34</v>
      </c>
      <c r="Q23" s="3">
        <v>90</v>
      </c>
      <c r="R23" s="3" t="s">
        <v>63</v>
      </c>
      <c r="S23" s="3">
        <v>2.97</v>
      </c>
      <c r="T23" s="3">
        <v>3.23</v>
      </c>
      <c r="U23" s="3">
        <v>9.41</v>
      </c>
      <c r="V23" s="3">
        <v>68</v>
      </c>
      <c r="W23" s="3">
        <v>5500</v>
      </c>
      <c r="X23" s="3">
        <v>37</v>
      </c>
      <c r="Y23" s="3">
        <v>41</v>
      </c>
      <c r="Z23" s="3">
        <v>5572</v>
      </c>
      <c r="AA23">
        <f t="shared" si="0"/>
        <v>5014.8</v>
      </c>
    </row>
    <row r="24" spans="1:27" ht="14.25" hidden="1" customHeight="1" x14ac:dyDescent="0.35">
      <c r="A24" s="3">
        <v>23</v>
      </c>
      <c r="B24" s="3">
        <v>1</v>
      </c>
      <c r="C24" s="3" t="s">
        <v>67</v>
      </c>
      <c r="D24" s="3" t="s">
        <v>27</v>
      </c>
      <c r="E24" s="3" t="s">
        <v>28</v>
      </c>
      <c r="F24" s="3" t="s">
        <v>29</v>
      </c>
      <c r="G24" s="3" t="s">
        <v>38</v>
      </c>
      <c r="H24" s="3" t="s">
        <v>43</v>
      </c>
      <c r="I24" s="3" t="s">
        <v>32</v>
      </c>
      <c r="J24" s="3">
        <v>93.7</v>
      </c>
      <c r="K24" s="3">
        <v>157.30000000000001</v>
      </c>
      <c r="L24" s="3">
        <v>63.8</v>
      </c>
      <c r="M24" s="3">
        <v>50.8</v>
      </c>
      <c r="N24" s="3">
        <v>1876</v>
      </c>
      <c r="O24" s="3" t="s">
        <v>44</v>
      </c>
      <c r="P24" s="3" t="s">
        <v>34</v>
      </c>
      <c r="Q24" s="3">
        <v>90</v>
      </c>
      <c r="R24" s="3" t="s">
        <v>63</v>
      </c>
      <c r="S24" s="3">
        <v>2.97</v>
      </c>
      <c r="T24" s="3">
        <v>3.23</v>
      </c>
      <c r="U24" s="3">
        <v>9.4</v>
      </c>
      <c r="V24" s="3">
        <v>68</v>
      </c>
      <c r="W24" s="3">
        <v>5500</v>
      </c>
      <c r="X24" s="3">
        <v>31</v>
      </c>
      <c r="Y24" s="3">
        <v>38</v>
      </c>
      <c r="Z24" s="3">
        <v>6377</v>
      </c>
      <c r="AA24">
        <f t="shared" si="0"/>
        <v>5739.3</v>
      </c>
    </row>
    <row r="25" spans="1:27" ht="14.25" hidden="1" customHeight="1" x14ac:dyDescent="0.35">
      <c r="A25" s="3">
        <v>24</v>
      </c>
      <c r="B25" s="3">
        <v>1</v>
      </c>
      <c r="C25" s="3" t="s">
        <v>68</v>
      </c>
      <c r="D25" s="3" t="s">
        <v>27</v>
      </c>
      <c r="E25" s="3" t="s">
        <v>52</v>
      </c>
      <c r="F25" s="3" t="s">
        <v>29</v>
      </c>
      <c r="G25" s="3" t="s">
        <v>38</v>
      </c>
      <c r="H25" s="3" t="s">
        <v>43</v>
      </c>
      <c r="I25" s="3" t="s">
        <v>32</v>
      </c>
      <c r="J25" s="3">
        <v>93.7</v>
      </c>
      <c r="K25" s="3">
        <v>157.30000000000001</v>
      </c>
      <c r="L25" s="3">
        <v>63.8</v>
      </c>
      <c r="M25" s="3">
        <v>50.8</v>
      </c>
      <c r="N25" s="3">
        <v>2128</v>
      </c>
      <c r="O25" s="3" t="s">
        <v>44</v>
      </c>
      <c r="P25" s="3" t="s">
        <v>34</v>
      </c>
      <c r="Q25" s="3">
        <v>98</v>
      </c>
      <c r="R25" s="3" t="s">
        <v>35</v>
      </c>
      <c r="S25" s="3">
        <v>3.03</v>
      </c>
      <c r="T25" s="3">
        <v>3.39</v>
      </c>
      <c r="U25" s="3">
        <v>7.6</v>
      </c>
      <c r="V25" s="3">
        <v>102</v>
      </c>
      <c r="W25" s="3">
        <v>5500</v>
      </c>
      <c r="X25" s="3">
        <v>24</v>
      </c>
      <c r="Y25" s="3">
        <v>30</v>
      </c>
      <c r="Z25" s="3">
        <v>7957</v>
      </c>
      <c r="AA25">
        <f t="shared" si="0"/>
        <v>7161.3</v>
      </c>
    </row>
    <row r="26" spans="1:27" ht="14.25" hidden="1" customHeight="1" x14ac:dyDescent="0.35">
      <c r="A26" s="3">
        <v>25</v>
      </c>
      <c r="B26" s="3">
        <v>1</v>
      </c>
      <c r="C26" s="3" t="s">
        <v>69</v>
      </c>
      <c r="D26" s="3" t="s">
        <v>27</v>
      </c>
      <c r="E26" s="3" t="s">
        <v>28</v>
      </c>
      <c r="F26" s="3" t="s">
        <v>34</v>
      </c>
      <c r="G26" s="3" t="s">
        <v>38</v>
      </c>
      <c r="H26" s="3" t="s">
        <v>43</v>
      </c>
      <c r="I26" s="3" t="s">
        <v>32</v>
      </c>
      <c r="J26" s="3">
        <v>93.7</v>
      </c>
      <c r="K26" s="3">
        <v>157.30000000000001</v>
      </c>
      <c r="L26" s="3">
        <v>63.8</v>
      </c>
      <c r="M26" s="3">
        <v>50.6</v>
      </c>
      <c r="N26" s="3">
        <v>1967</v>
      </c>
      <c r="O26" s="3" t="s">
        <v>44</v>
      </c>
      <c r="P26" s="3" t="s">
        <v>34</v>
      </c>
      <c r="Q26" s="3">
        <v>90</v>
      </c>
      <c r="R26" s="3" t="s">
        <v>63</v>
      </c>
      <c r="S26" s="3">
        <v>2.97</v>
      </c>
      <c r="T26" s="3">
        <v>3.23</v>
      </c>
      <c r="U26" s="3">
        <v>9.4</v>
      </c>
      <c r="V26" s="3">
        <v>68</v>
      </c>
      <c r="W26" s="3">
        <v>5500</v>
      </c>
      <c r="X26" s="3">
        <v>31</v>
      </c>
      <c r="Y26" s="3">
        <v>38</v>
      </c>
      <c r="Z26" s="3">
        <v>6229</v>
      </c>
      <c r="AA26">
        <f t="shared" si="0"/>
        <v>5606.1</v>
      </c>
    </row>
    <row r="27" spans="1:27" ht="14.25" hidden="1" customHeight="1" x14ac:dyDescent="0.35">
      <c r="A27" s="3">
        <v>26</v>
      </c>
      <c r="B27" s="3">
        <v>1</v>
      </c>
      <c r="C27" s="3" t="s">
        <v>70</v>
      </c>
      <c r="D27" s="3" t="s">
        <v>27</v>
      </c>
      <c r="E27" s="3" t="s">
        <v>28</v>
      </c>
      <c r="F27" s="3" t="s">
        <v>34</v>
      </c>
      <c r="G27" s="3" t="s">
        <v>42</v>
      </c>
      <c r="H27" s="3" t="s">
        <v>43</v>
      </c>
      <c r="I27" s="3" t="s">
        <v>32</v>
      </c>
      <c r="J27" s="3">
        <v>93.7</v>
      </c>
      <c r="K27" s="3">
        <v>157.30000000000001</v>
      </c>
      <c r="L27" s="3">
        <v>63.8</v>
      </c>
      <c r="M27" s="3">
        <v>50.6</v>
      </c>
      <c r="N27" s="3">
        <v>1989</v>
      </c>
      <c r="O27" s="3" t="s">
        <v>44</v>
      </c>
      <c r="P27" s="3" t="s">
        <v>34</v>
      </c>
      <c r="Q27" s="3">
        <v>90</v>
      </c>
      <c r="R27" s="3" t="s">
        <v>63</v>
      </c>
      <c r="S27" s="3">
        <v>2.97</v>
      </c>
      <c r="T27" s="3">
        <v>3.23</v>
      </c>
      <c r="U27" s="3">
        <v>9.4</v>
      </c>
      <c r="V27" s="3">
        <v>68</v>
      </c>
      <c r="W27" s="3">
        <v>5500</v>
      </c>
      <c r="X27" s="3">
        <v>31</v>
      </c>
      <c r="Y27" s="3">
        <v>38</v>
      </c>
      <c r="Z27" s="3">
        <v>6692</v>
      </c>
      <c r="AA27">
        <f t="shared" si="0"/>
        <v>6022.8</v>
      </c>
    </row>
    <row r="28" spans="1:27" ht="14.25" hidden="1" customHeight="1" x14ac:dyDescent="0.35">
      <c r="A28" s="3">
        <v>27</v>
      </c>
      <c r="B28" s="3">
        <v>1</v>
      </c>
      <c r="C28" s="3" t="s">
        <v>71</v>
      </c>
      <c r="D28" s="3" t="s">
        <v>27</v>
      </c>
      <c r="E28" s="3" t="s">
        <v>28</v>
      </c>
      <c r="F28" s="3" t="s">
        <v>34</v>
      </c>
      <c r="G28" s="3" t="s">
        <v>42</v>
      </c>
      <c r="H28" s="3" t="s">
        <v>43</v>
      </c>
      <c r="I28" s="3" t="s">
        <v>32</v>
      </c>
      <c r="J28" s="3">
        <v>93.7</v>
      </c>
      <c r="K28" s="3">
        <v>157.30000000000001</v>
      </c>
      <c r="L28" s="3">
        <v>63.8</v>
      </c>
      <c r="M28" s="3">
        <v>50.6</v>
      </c>
      <c r="N28" s="3">
        <v>1989</v>
      </c>
      <c r="O28" s="3" t="s">
        <v>44</v>
      </c>
      <c r="P28" s="3" t="s">
        <v>34</v>
      </c>
      <c r="Q28" s="3">
        <v>90</v>
      </c>
      <c r="R28" s="3" t="s">
        <v>63</v>
      </c>
      <c r="S28" s="3">
        <v>2.97</v>
      </c>
      <c r="T28" s="3">
        <v>3.23</v>
      </c>
      <c r="U28" s="3">
        <v>9.4</v>
      </c>
      <c r="V28" s="3">
        <v>68</v>
      </c>
      <c r="W28" s="3">
        <v>5500</v>
      </c>
      <c r="X28" s="3">
        <v>31</v>
      </c>
      <c r="Y28" s="3">
        <v>38</v>
      </c>
      <c r="Z28" s="3">
        <v>7609</v>
      </c>
      <c r="AA28">
        <f t="shared" si="0"/>
        <v>6848.1</v>
      </c>
    </row>
    <row r="29" spans="1:27" ht="14.25" hidden="1" customHeight="1" x14ac:dyDescent="0.35">
      <c r="A29" s="3">
        <v>28</v>
      </c>
      <c r="B29" s="3">
        <v>1</v>
      </c>
      <c r="C29" s="3" t="s">
        <v>72</v>
      </c>
      <c r="D29" s="3" t="s">
        <v>27</v>
      </c>
      <c r="E29" s="3" t="s">
        <v>52</v>
      </c>
      <c r="F29" s="3" t="s">
        <v>29</v>
      </c>
      <c r="G29" s="3" t="s">
        <v>42</v>
      </c>
      <c r="H29" s="3" t="s">
        <v>43</v>
      </c>
      <c r="I29" s="3" t="s">
        <v>32</v>
      </c>
      <c r="J29" s="3">
        <v>93.7</v>
      </c>
      <c r="K29" s="3">
        <v>157.30000000000001</v>
      </c>
      <c r="L29" s="3">
        <v>63.8</v>
      </c>
      <c r="M29" s="3">
        <v>50.6</v>
      </c>
      <c r="N29" s="3">
        <v>2191</v>
      </c>
      <c r="O29" s="3" t="s">
        <v>44</v>
      </c>
      <c r="P29" s="3" t="s">
        <v>34</v>
      </c>
      <c r="Q29" s="3">
        <v>98</v>
      </c>
      <c r="R29" s="3" t="s">
        <v>35</v>
      </c>
      <c r="S29" s="3">
        <v>3.03</v>
      </c>
      <c r="T29" s="3">
        <v>3.39</v>
      </c>
      <c r="U29" s="3">
        <v>7.6</v>
      </c>
      <c r="V29" s="3">
        <v>102</v>
      </c>
      <c r="W29" s="3">
        <v>5500</v>
      </c>
      <c r="X29" s="3">
        <v>24</v>
      </c>
      <c r="Y29" s="3">
        <v>30</v>
      </c>
      <c r="Z29" s="3">
        <v>8558</v>
      </c>
      <c r="AA29">
        <f t="shared" si="0"/>
        <v>7702.2</v>
      </c>
    </row>
    <row r="30" spans="1:27" ht="14.25" hidden="1" customHeight="1" x14ac:dyDescent="0.35">
      <c r="A30" s="3">
        <v>29</v>
      </c>
      <c r="B30" s="3">
        <v>-1</v>
      </c>
      <c r="C30" s="3" t="s">
        <v>73</v>
      </c>
      <c r="D30" s="3" t="s">
        <v>27</v>
      </c>
      <c r="E30" s="3" t="s">
        <v>28</v>
      </c>
      <c r="F30" s="3" t="s">
        <v>34</v>
      </c>
      <c r="G30" s="3" t="s">
        <v>50</v>
      </c>
      <c r="H30" s="3" t="s">
        <v>43</v>
      </c>
      <c r="I30" s="3" t="s">
        <v>32</v>
      </c>
      <c r="J30" s="3">
        <v>103.3</v>
      </c>
      <c r="K30" s="3">
        <v>174.6</v>
      </c>
      <c r="L30" s="3">
        <v>64.599999999999994</v>
      </c>
      <c r="M30" s="3">
        <v>59.8</v>
      </c>
      <c r="N30" s="3">
        <v>2535</v>
      </c>
      <c r="O30" s="3" t="s">
        <v>44</v>
      </c>
      <c r="P30" s="3" t="s">
        <v>34</v>
      </c>
      <c r="Q30" s="3">
        <v>122</v>
      </c>
      <c r="R30" s="3" t="s">
        <v>63</v>
      </c>
      <c r="S30" s="3">
        <v>3.34</v>
      </c>
      <c r="T30" s="3">
        <v>3.46</v>
      </c>
      <c r="U30" s="3">
        <v>8.5</v>
      </c>
      <c r="V30" s="3">
        <v>88</v>
      </c>
      <c r="W30" s="3">
        <v>5000</v>
      </c>
      <c r="X30" s="3">
        <v>24</v>
      </c>
      <c r="Y30" s="3">
        <v>30</v>
      </c>
      <c r="Z30" s="3">
        <v>8921</v>
      </c>
      <c r="AA30">
        <f t="shared" si="0"/>
        <v>8028.9000000000005</v>
      </c>
    </row>
    <row r="31" spans="1:27" ht="14.25" hidden="1" customHeight="1" x14ac:dyDescent="0.35">
      <c r="A31" s="3">
        <v>30</v>
      </c>
      <c r="B31" s="3">
        <v>3</v>
      </c>
      <c r="C31" s="3" t="s">
        <v>74</v>
      </c>
      <c r="D31" s="3" t="s">
        <v>27</v>
      </c>
      <c r="E31" s="3" t="s">
        <v>52</v>
      </c>
      <c r="F31" s="3" t="s">
        <v>29</v>
      </c>
      <c r="G31" s="3" t="s">
        <v>38</v>
      </c>
      <c r="H31" s="3" t="s">
        <v>43</v>
      </c>
      <c r="I31" s="3" t="s">
        <v>32</v>
      </c>
      <c r="J31" s="3">
        <v>95.9</v>
      </c>
      <c r="K31" s="3">
        <v>173.2</v>
      </c>
      <c r="L31" s="3">
        <v>66.3</v>
      </c>
      <c r="M31" s="3">
        <v>50.2</v>
      </c>
      <c r="N31" s="3">
        <v>2811</v>
      </c>
      <c r="O31" s="3" t="s">
        <v>44</v>
      </c>
      <c r="P31" s="3" t="s">
        <v>34</v>
      </c>
      <c r="Q31" s="3">
        <v>156</v>
      </c>
      <c r="R31" s="3" t="s">
        <v>75</v>
      </c>
      <c r="S31" s="3">
        <v>3.6</v>
      </c>
      <c r="T31" s="3">
        <v>3.9</v>
      </c>
      <c r="U31" s="3">
        <v>7</v>
      </c>
      <c r="V31" s="3">
        <v>145</v>
      </c>
      <c r="W31" s="3">
        <v>5000</v>
      </c>
      <c r="X31" s="3">
        <v>19</v>
      </c>
      <c r="Y31" s="3">
        <v>24</v>
      </c>
      <c r="Z31" s="3">
        <v>12964</v>
      </c>
      <c r="AA31">
        <f t="shared" si="0"/>
        <v>11667.6</v>
      </c>
    </row>
    <row r="32" spans="1:27" ht="14.25" hidden="1" customHeight="1" x14ac:dyDescent="0.35">
      <c r="A32" s="3">
        <v>31</v>
      </c>
      <c r="B32" s="3">
        <v>2</v>
      </c>
      <c r="C32" s="3" t="s">
        <v>76</v>
      </c>
      <c r="D32" s="3" t="s">
        <v>27</v>
      </c>
      <c r="E32" s="3" t="s">
        <v>28</v>
      </c>
      <c r="F32" s="3" t="s">
        <v>29</v>
      </c>
      <c r="G32" s="3" t="s">
        <v>38</v>
      </c>
      <c r="H32" s="3" t="s">
        <v>43</v>
      </c>
      <c r="I32" s="3" t="s">
        <v>32</v>
      </c>
      <c r="J32" s="3">
        <v>86.6</v>
      </c>
      <c r="K32" s="3">
        <v>144.6</v>
      </c>
      <c r="L32" s="3">
        <v>63.9</v>
      </c>
      <c r="M32" s="3">
        <v>50.8</v>
      </c>
      <c r="N32" s="3">
        <v>1713</v>
      </c>
      <c r="O32" s="3" t="s">
        <v>44</v>
      </c>
      <c r="P32" s="3" t="s">
        <v>34</v>
      </c>
      <c r="Q32" s="3">
        <v>92</v>
      </c>
      <c r="R32" s="3" t="s">
        <v>77</v>
      </c>
      <c r="S32" s="3">
        <v>2.91</v>
      </c>
      <c r="T32" s="3">
        <v>3.41</v>
      </c>
      <c r="U32" s="3">
        <v>9.6</v>
      </c>
      <c r="V32" s="3">
        <v>58</v>
      </c>
      <c r="W32" s="3">
        <v>4800</v>
      </c>
      <c r="X32" s="3">
        <v>49</v>
      </c>
      <c r="Y32" s="3">
        <v>54</v>
      </c>
      <c r="Z32" s="3">
        <v>6479</v>
      </c>
      <c r="AA32">
        <f t="shared" si="0"/>
        <v>5831.1</v>
      </c>
    </row>
    <row r="33" spans="1:27" ht="14.25" hidden="1" customHeight="1" x14ac:dyDescent="0.35">
      <c r="A33" s="3">
        <v>32</v>
      </c>
      <c r="B33" s="3">
        <v>2</v>
      </c>
      <c r="C33" s="3" t="s">
        <v>78</v>
      </c>
      <c r="D33" s="3" t="s">
        <v>27</v>
      </c>
      <c r="E33" s="3" t="s">
        <v>28</v>
      </c>
      <c r="F33" s="3" t="s">
        <v>29</v>
      </c>
      <c r="G33" s="3" t="s">
        <v>38</v>
      </c>
      <c r="H33" s="3" t="s">
        <v>43</v>
      </c>
      <c r="I33" s="3" t="s">
        <v>32</v>
      </c>
      <c r="J33" s="3">
        <v>86.6</v>
      </c>
      <c r="K33" s="3">
        <v>144.6</v>
      </c>
      <c r="L33" s="3">
        <v>63.9</v>
      </c>
      <c r="M33" s="3">
        <v>50.8</v>
      </c>
      <c r="N33" s="3">
        <v>1819</v>
      </c>
      <c r="O33" s="3" t="s">
        <v>44</v>
      </c>
      <c r="P33" s="3" t="s">
        <v>34</v>
      </c>
      <c r="Q33" s="3">
        <v>92</v>
      </c>
      <c r="R33" s="3" t="s">
        <v>77</v>
      </c>
      <c r="S33" s="3">
        <v>2.91</v>
      </c>
      <c r="T33" s="3">
        <v>3.41</v>
      </c>
      <c r="U33" s="3">
        <v>9.1999999999999993</v>
      </c>
      <c r="V33" s="3">
        <v>76</v>
      </c>
      <c r="W33" s="3">
        <v>6000</v>
      </c>
      <c r="X33" s="3">
        <v>31</v>
      </c>
      <c r="Y33" s="3">
        <v>38</v>
      </c>
      <c r="Z33" s="3">
        <v>6855</v>
      </c>
      <c r="AA33">
        <f t="shared" si="0"/>
        <v>6169.5</v>
      </c>
    </row>
    <row r="34" spans="1:27" ht="14.25" hidden="1" customHeight="1" x14ac:dyDescent="0.35">
      <c r="A34" s="3">
        <v>33</v>
      </c>
      <c r="B34" s="3">
        <v>1</v>
      </c>
      <c r="C34" s="3" t="s">
        <v>76</v>
      </c>
      <c r="D34" s="3" t="s">
        <v>27</v>
      </c>
      <c r="E34" s="3" t="s">
        <v>28</v>
      </c>
      <c r="F34" s="3" t="s">
        <v>29</v>
      </c>
      <c r="G34" s="3" t="s">
        <v>38</v>
      </c>
      <c r="H34" s="3" t="s">
        <v>43</v>
      </c>
      <c r="I34" s="3" t="s">
        <v>32</v>
      </c>
      <c r="J34" s="3">
        <v>93.7</v>
      </c>
      <c r="K34" s="3">
        <v>150</v>
      </c>
      <c r="L34" s="3">
        <v>64</v>
      </c>
      <c r="M34" s="3">
        <v>52.6</v>
      </c>
      <c r="N34" s="3">
        <v>1837</v>
      </c>
      <c r="O34" s="3" t="s">
        <v>44</v>
      </c>
      <c r="P34" s="3" t="s">
        <v>34</v>
      </c>
      <c r="Q34" s="3">
        <v>79</v>
      </c>
      <c r="R34" s="3" t="s">
        <v>77</v>
      </c>
      <c r="S34" s="3">
        <v>2.91</v>
      </c>
      <c r="T34" s="3">
        <v>3.07</v>
      </c>
      <c r="U34" s="3">
        <v>10.1</v>
      </c>
      <c r="V34" s="3">
        <v>60</v>
      </c>
      <c r="W34" s="3">
        <v>5500</v>
      </c>
      <c r="X34" s="3">
        <v>38</v>
      </c>
      <c r="Y34" s="3">
        <v>42</v>
      </c>
      <c r="Z34" s="3">
        <v>5399</v>
      </c>
      <c r="AA34">
        <f t="shared" si="0"/>
        <v>4859.1000000000004</v>
      </c>
    </row>
    <row r="35" spans="1:27" ht="14.25" hidden="1" customHeight="1" x14ac:dyDescent="0.35">
      <c r="A35" s="3">
        <v>34</v>
      </c>
      <c r="B35" s="3">
        <v>1</v>
      </c>
      <c r="C35" s="3" t="s">
        <v>79</v>
      </c>
      <c r="D35" s="3" t="s">
        <v>27</v>
      </c>
      <c r="E35" s="3" t="s">
        <v>28</v>
      </c>
      <c r="F35" s="3" t="s">
        <v>29</v>
      </c>
      <c r="G35" s="3" t="s">
        <v>38</v>
      </c>
      <c r="H35" s="3" t="s">
        <v>43</v>
      </c>
      <c r="I35" s="3" t="s">
        <v>32</v>
      </c>
      <c r="J35" s="3">
        <v>93.7</v>
      </c>
      <c r="K35" s="3">
        <v>150</v>
      </c>
      <c r="L35" s="3">
        <v>64</v>
      </c>
      <c r="M35" s="3">
        <v>52.6</v>
      </c>
      <c r="N35" s="3">
        <v>1940</v>
      </c>
      <c r="O35" s="3" t="s">
        <v>44</v>
      </c>
      <c r="P35" s="3" t="s">
        <v>34</v>
      </c>
      <c r="Q35" s="3">
        <v>92</v>
      </c>
      <c r="R35" s="3" t="s">
        <v>77</v>
      </c>
      <c r="S35" s="3">
        <v>2.91</v>
      </c>
      <c r="T35" s="3">
        <v>3.41</v>
      </c>
      <c r="U35" s="3">
        <v>9.1999999999999993</v>
      </c>
      <c r="V35" s="3">
        <v>76</v>
      </c>
      <c r="W35" s="3">
        <v>6000</v>
      </c>
      <c r="X35" s="3">
        <v>30</v>
      </c>
      <c r="Y35" s="3">
        <v>34</v>
      </c>
      <c r="Z35" s="3">
        <v>6529</v>
      </c>
      <c r="AA35">
        <f t="shared" si="0"/>
        <v>5876.1</v>
      </c>
    </row>
    <row r="36" spans="1:27" ht="14.25" hidden="1" customHeight="1" x14ac:dyDescent="0.35">
      <c r="A36" s="3">
        <v>35</v>
      </c>
      <c r="B36" s="3">
        <v>1</v>
      </c>
      <c r="C36" s="3" t="s">
        <v>78</v>
      </c>
      <c r="D36" s="3" t="s">
        <v>27</v>
      </c>
      <c r="E36" s="3" t="s">
        <v>28</v>
      </c>
      <c r="F36" s="3" t="s">
        <v>29</v>
      </c>
      <c r="G36" s="3" t="s">
        <v>38</v>
      </c>
      <c r="H36" s="3" t="s">
        <v>43</v>
      </c>
      <c r="I36" s="3" t="s">
        <v>32</v>
      </c>
      <c r="J36" s="3">
        <v>93.7</v>
      </c>
      <c r="K36" s="3">
        <v>150</v>
      </c>
      <c r="L36" s="3">
        <v>64</v>
      </c>
      <c r="M36" s="3">
        <v>52.6</v>
      </c>
      <c r="N36" s="3">
        <v>1956</v>
      </c>
      <c r="O36" s="3" t="s">
        <v>44</v>
      </c>
      <c r="P36" s="3" t="s">
        <v>34</v>
      </c>
      <c r="Q36" s="3">
        <v>92</v>
      </c>
      <c r="R36" s="3" t="s">
        <v>77</v>
      </c>
      <c r="S36" s="3">
        <v>2.91</v>
      </c>
      <c r="T36" s="3">
        <v>3.41</v>
      </c>
      <c r="U36" s="3">
        <v>9.1999999999999993</v>
      </c>
      <c r="V36" s="3">
        <v>76</v>
      </c>
      <c r="W36" s="3">
        <v>6000</v>
      </c>
      <c r="X36" s="3">
        <v>30</v>
      </c>
      <c r="Y36" s="3">
        <v>34</v>
      </c>
      <c r="Z36" s="3">
        <v>7129</v>
      </c>
      <c r="AA36">
        <f t="shared" si="0"/>
        <v>6416.1</v>
      </c>
    </row>
    <row r="37" spans="1:27" ht="14.25" hidden="1" customHeight="1" x14ac:dyDescent="0.35">
      <c r="A37" s="3">
        <v>36</v>
      </c>
      <c r="B37" s="3">
        <v>0</v>
      </c>
      <c r="C37" s="3" t="s">
        <v>80</v>
      </c>
      <c r="D37" s="3" t="s">
        <v>27</v>
      </c>
      <c r="E37" s="3" t="s">
        <v>28</v>
      </c>
      <c r="F37" s="3" t="s">
        <v>34</v>
      </c>
      <c r="G37" s="3" t="s">
        <v>42</v>
      </c>
      <c r="H37" s="3" t="s">
        <v>43</v>
      </c>
      <c r="I37" s="3" t="s">
        <v>32</v>
      </c>
      <c r="J37" s="3">
        <v>96.5</v>
      </c>
      <c r="K37" s="3">
        <v>163.4</v>
      </c>
      <c r="L37" s="3">
        <v>64</v>
      </c>
      <c r="M37" s="3">
        <v>54.5</v>
      </c>
      <c r="N37" s="3">
        <v>2010</v>
      </c>
      <c r="O37" s="3" t="s">
        <v>44</v>
      </c>
      <c r="P37" s="3" t="s">
        <v>34</v>
      </c>
      <c r="Q37" s="3">
        <v>92</v>
      </c>
      <c r="R37" s="3" t="s">
        <v>77</v>
      </c>
      <c r="S37" s="3">
        <v>2.91</v>
      </c>
      <c r="T37" s="3">
        <v>3.41</v>
      </c>
      <c r="U37" s="3">
        <v>9.1999999999999993</v>
      </c>
      <c r="V37" s="3">
        <v>76</v>
      </c>
      <c r="W37" s="3">
        <v>6000</v>
      </c>
      <c r="X37" s="3">
        <v>30</v>
      </c>
      <c r="Y37" s="3">
        <v>34</v>
      </c>
      <c r="Z37" s="3">
        <v>7295</v>
      </c>
      <c r="AA37">
        <f t="shared" si="0"/>
        <v>6565.5</v>
      </c>
    </row>
    <row r="38" spans="1:27" ht="14.25" hidden="1" customHeight="1" x14ac:dyDescent="0.35">
      <c r="A38" s="3">
        <v>37</v>
      </c>
      <c r="B38" s="3">
        <v>0</v>
      </c>
      <c r="C38" s="3" t="s">
        <v>81</v>
      </c>
      <c r="D38" s="3" t="s">
        <v>27</v>
      </c>
      <c r="E38" s="3" t="s">
        <v>28</v>
      </c>
      <c r="F38" s="3" t="s">
        <v>34</v>
      </c>
      <c r="G38" s="3" t="s">
        <v>50</v>
      </c>
      <c r="H38" s="3" t="s">
        <v>43</v>
      </c>
      <c r="I38" s="3" t="s">
        <v>32</v>
      </c>
      <c r="J38" s="3">
        <v>96.5</v>
      </c>
      <c r="K38" s="3">
        <v>157.1</v>
      </c>
      <c r="L38" s="3">
        <v>63.9</v>
      </c>
      <c r="M38" s="3">
        <v>58.3</v>
      </c>
      <c r="N38" s="3">
        <v>2024</v>
      </c>
      <c r="O38" s="3" t="s">
        <v>44</v>
      </c>
      <c r="P38" s="3" t="s">
        <v>34</v>
      </c>
      <c r="Q38" s="3">
        <v>92</v>
      </c>
      <c r="R38" s="3" t="s">
        <v>77</v>
      </c>
      <c r="S38" s="3">
        <v>2.92</v>
      </c>
      <c r="T38" s="3">
        <v>3.41</v>
      </c>
      <c r="U38" s="3">
        <v>9.1999999999999993</v>
      </c>
      <c r="V38" s="3">
        <v>76</v>
      </c>
      <c r="W38" s="3">
        <v>6000</v>
      </c>
      <c r="X38" s="3">
        <v>30</v>
      </c>
      <c r="Y38" s="3">
        <v>34</v>
      </c>
      <c r="Z38" s="3">
        <v>7295</v>
      </c>
      <c r="AA38">
        <f t="shared" si="0"/>
        <v>6565.5</v>
      </c>
    </row>
    <row r="39" spans="1:27" ht="14.25" hidden="1" customHeight="1" x14ac:dyDescent="0.35">
      <c r="A39" s="3">
        <v>38</v>
      </c>
      <c r="B39" s="3">
        <v>0</v>
      </c>
      <c r="C39" s="3" t="s">
        <v>82</v>
      </c>
      <c r="D39" s="3" t="s">
        <v>27</v>
      </c>
      <c r="E39" s="3" t="s">
        <v>28</v>
      </c>
      <c r="F39" s="3" t="s">
        <v>29</v>
      </c>
      <c r="G39" s="3" t="s">
        <v>38</v>
      </c>
      <c r="H39" s="3" t="s">
        <v>43</v>
      </c>
      <c r="I39" s="3" t="s">
        <v>32</v>
      </c>
      <c r="J39" s="3">
        <v>96.5</v>
      </c>
      <c r="K39" s="3">
        <v>167.5</v>
      </c>
      <c r="L39" s="3">
        <v>65.2</v>
      </c>
      <c r="M39" s="3">
        <v>53.3</v>
      </c>
      <c r="N39" s="3">
        <v>2236</v>
      </c>
      <c r="O39" s="3" t="s">
        <v>44</v>
      </c>
      <c r="P39" s="3" t="s">
        <v>34</v>
      </c>
      <c r="Q39" s="3">
        <v>110</v>
      </c>
      <c r="R39" s="3" t="s">
        <v>77</v>
      </c>
      <c r="S39" s="3">
        <v>3.15</v>
      </c>
      <c r="T39" s="3">
        <v>3.58</v>
      </c>
      <c r="U39" s="3">
        <v>9</v>
      </c>
      <c r="V39" s="3">
        <v>86</v>
      </c>
      <c r="W39" s="3">
        <v>5800</v>
      </c>
      <c r="X39" s="3">
        <v>27</v>
      </c>
      <c r="Y39" s="3">
        <v>33</v>
      </c>
      <c r="Z39" s="3">
        <v>7895</v>
      </c>
      <c r="AA39">
        <f t="shared" si="0"/>
        <v>7105.5</v>
      </c>
    </row>
    <row r="40" spans="1:27" ht="14.25" hidden="1" customHeight="1" x14ac:dyDescent="0.35">
      <c r="A40" s="3">
        <v>39</v>
      </c>
      <c r="B40" s="3">
        <v>0</v>
      </c>
      <c r="C40" s="3" t="s">
        <v>83</v>
      </c>
      <c r="D40" s="3" t="s">
        <v>27</v>
      </c>
      <c r="E40" s="3" t="s">
        <v>28</v>
      </c>
      <c r="F40" s="3" t="s">
        <v>29</v>
      </c>
      <c r="G40" s="3" t="s">
        <v>38</v>
      </c>
      <c r="H40" s="3" t="s">
        <v>43</v>
      </c>
      <c r="I40" s="3" t="s">
        <v>32</v>
      </c>
      <c r="J40" s="3">
        <v>96.5</v>
      </c>
      <c r="K40" s="3">
        <v>167.5</v>
      </c>
      <c r="L40" s="3">
        <v>65.2</v>
      </c>
      <c r="M40" s="3">
        <v>53.3</v>
      </c>
      <c r="N40" s="3">
        <v>2289</v>
      </c>
      <c r="O40" s="3" t="s">
        <v>44</v>
      </c>
      <c r="P40" s="3" t="s">
        <v>34</v>
      </c>
      <c r="Q40" s="3">
        <v>110</v>
      </c>
      <c r="R40" s="3" t="s">
        <v>77</v>
      </c>
      <c r="S40" s="3">
        <v>3.15</v>
      </c>
      <c r="T40" s="3">
        <v>3.58</v>
      </c>
      <c r="U40" s="3">
        <v>9</v>
      </c>
      <c r="V40" s="3">
        <v>86</v>
      </c>
      <c r="W40" s="3">
        <v>5800</v>
      </c>
      <c r="X40" s="3">
        <v>27</v>
      </c>
      <c r="Y40" s="3">
        <v>33</v>
      </c>
      <c r="Z40" s="3">
        <v>9095</v>
      </c>
      <c r="AA40">
        <f t="shared" si="0"/>
        <v>8185.5</v>
      </c>
    </row>
    <row r="41" spans="1:27" ht="14.25" hidden="1" customHeight="1" x14ac:dyDescent="0.35">
      <c r="A41" s="3">
        <v>40</v>
      </c>
      <c r="B41" s="3">
        <v>0</v>
      </c>
      <c r="C41" s="3" t="s">
        <v>84</v>
      </c>
      <c r="D41" s="3" t="s">
        <v>27</v>
      </c>
      <c r="E41" s="3" t="s">
        <v>28</v>
      </c>
      <c r="F41" s="3" t="s">
        <v>34</v>
      </c>
      <c r="G41" s="3" t="s">
        <v>42</v>
      </c>
      <c r="H41" s="3" t="s">
        <v>43</v>
      </c>
      <c r="I41" s="3" t="s">
        <v>32</v>
      </c>
      <c r="J41" s="3">
        <v>96.5</v>
      </c>
      <c r="K41" s="3">
        <v>175.4</v>
      </c>
      <c r="L41" s="3">
        <v>65.2</v>
      </c>
      <c r="M41" s="3">
        <v>54.1</v>
      </c>
      <c r="N41" s="3">
        <v>2304</v>
      </c>
      <c r="O41" s="3" t="s">
        <v>44</v>
      </c>
      <c r="P41" s="3" t="s">
        <v>34</v>
      </c>
      <c r="Q41" s="3">
        <v>110</v>
      </c>
      <c r="R41" s="3" t="s">
        <v>77</v>
      </c>
      <c r="S41" s="3">
        <v>3.15</v>
      </c>
      <c r="T41" s="3">
        <v>3.58</v>
      </c>
      <c r="U41" s="3">
        <v>9</v>
      </c>
      <c r="V41" s="3">
        <v>86</v>
      </c>
      <c r="W41" s="3">
        <v>5800</v>
      </c>
      <c r="X41" s="3">
        <v>27</v>
      </c>
      <c r="Y41" s="3">
        <v>33</v>
      </c>
      <c r="Z41" s="3">
        <v>8845</v>
      </c>
      <c r="AA41">
        <f t="shared" si="0"/>
        <v>7960.5</v>
      </c>
    </row>
    <row r="42" spans="1:27" ht="14.25" hidden="1" customHeight="1" x14ac:dyDescent="0.35">
      <c r="A42" s="3">
        <v>41</v>
      </c>
      <c r="B42" s="3">
        <v>0</v>
      </c>
      <c r="C42" s="3" t="s">
        <v>82</v>
      </c>
      <c r="D42" s="3" t="s">
        <v>27</v>
      </c>
      <c r="E42" s="3" t="s">
        <v>28</v>
      </c>
      <c r="F42" s="3" t="s">
        <v>34</v>
      </c>
      <c r="G42" s="3" t="s">
        <v>42</v>
      </c>
      <c r="H42" s="3" t="s">
        <v>43</v>
      </c>
      <c r="I42" s="3" t="s">
        <v>32</v>
      </c>
      <c r="J42" s="3">
        <v>96.5</v>
      </c>
      <c r="K42" s="3">
        <v>175.4</v>
      </c>
      <c r="L42" s="3">
        <v>62.5</v>
      </c>
      <c r="M42" s="3">
        <v>54.1</v>
      </c>
      <c r="N42" s="3">
        <v>2372</v>
      </c>
      <c r="O42" s="3" t="s">
        <v>44</v>
      </c>
      <c r="P42" s="3" t="s">
        <v>34</v>
      </c>
      <c r="Q42" s="3">
        <v>110</v>
      </c>
      <c r="R42" s="3" t="s">
        <v>77</v>
      </c>
      <c r="S42" s="3">
        <v>3.15</v>
      </c>
      <c r="T42" s="3">
        <v>3.58</v>
      </c>
      <c r="U42" s="3">
        <v>9</v>
      </c>
      <c r="V42" s="3">
        <v>86</v>
      </c>
      <c r="W42" s="3">
        <v>5800</v>
      </c>
      <c r="X42" s="3">
        <v>27</v>
      </c>
      <c r="Y42" s="3">
        <v>33</v>
      </c>
      <c r="Z42" s="3">
        <v>10295</v>
      </c>
      <c r="AA42">
        <f t="shared" si="0"/>
        <v>9265.5</v>
      </c>
    </row>
    <row r="43" spans="1:27" ht="14.25" hidden="1" customHeight="1" x14ac:dyDescent="0.35">
      <c r="A43" s="3">
        <v>42</v>
      </c>
      <c r="B43" s="3">
        <v>0</v>
      </c>
      <c r="C43" s="3" t="s">
        <v>76</v>
      </c>
      <c r="D43" s="3" t="s">
        <v>27</v>
      </c>
      <c r="E43" s="3" t="s">
        <v>28</v>
      </c>
      <c r="F43" s="3" t="s">
        <v>34</v>
      </c>
      <c r="G43" s="3" t="s">
        <v>42</v>
      </c>
      <c r="H43" s="3" t="s">
        <v>43</v>
      </c>
      <c r="I43" s="3" t="s">
        <v>32</v>
      </c>
      <c r="J43" s="3">
        <v>96.5</v>
      </c>
      <c r="K43" s="3">
        <v>175.4</v>
      </c>
      <c r="L43" s="3">
        <v>65.2</v>
      </c>
      <c r="M43" s="3">
        <v>54.1</v>
      </c>
      <c r="N43" s="3">
        <v>2465</v>
      </c>
      <c r="O43" s="3" t="s">
        <v>44</v>
      </c>
      <c r="P43" s="3" t="s">
        <v>34</v>
      </c>
      <c r="Q43" s="3">
        <v>110</v>
      </c>
      <c r="R43" s="3" t="s">
        <v>35</v>
      </c>
      <c r="S43" s="3">
        <v>3.15</v>
      </c>
      <c r="T43" s="3">
        <v>3.58</v>
      </c>
      <c r="U43" s="3">
        <v>9</v>
      </c>
      <c r="V43" s="3">
        <v>101</v>
      </c>
      <c r="W43" s="3">
        <v>5800</v>
      </c>
      <c r="X43" s="3">
        <v>24</v>
      </c>
      <c r="Y43" s="3">
        <v>28</v>
      </c>
      <c r="Z43" s="3">
        <v>12945</v>
      </c>
      <c r="AA43">
        <f t="shared" si="0"/>
        <v>11650.5</v>
      </c>
    </row>
    <row r="44" spans="1:27" ht="14.25" hidden="1" customHeight="1" x14ac:dyDescent="0.35">
      <c r="A44" s="3">
        <v>43</v>
      </c>
      <c r="B44" s="3">
        <v>1</v>
      </c>
      <c r="C44" s="3" t="s">
        <v>85</v>
      </c>
      <c r="D44" s="3" t="s">
        <v>27</v>
      </c>
      <c r="E44" s="3" t="s">
        <v>28</v>
      </c>
      <c r="F44" s="3" t="s">
        <v>29</v>
      </c>
      <c r="G44" s="3" t="s">
        <v>42</v>
      </c>
      <c r="H44" s="3" t="s">
        <v>43</v>
      </c>
      <c r="I44" s="3" t="s">
        <v>32</v>
      </c>
      <c r="J44" s="3">
        <v>96.5</v>
      </c>
      <c r="K44" s="3">
        <v>169.1</v>
      </c>
      <c r="L44" s="3">
        <v>66</v>
      </c>
      <c r="M44" s="3">
        <v>51</v>
      </c>
      <c r="N44" s="3">
        <v>2293</v>
      </c>
      <c r="O44" s="3" t="s">
        <v>44</v>
      </c>
      <c r="P44" s="3" t="s">
        <v>34</v>
      </c>
      <c r="Q44" s="3">
        <v>110</v>
      </c>
      <c r="R44" s="3" t="s">
        <v>63</v>
      </c>
      <c r="S44" s="3">
        <v>3.15</v>
      </c>
      <c r="T44" s="3">
        <v>3.58</v>
      </c>
      <c r="U44" s="3">
        <v>9.1</v>
      </c>
      <c r="V44" s="3">
        <v>100</v>
      </c>
      <c r="W44" s="3">
        <v>5500</v>
      </c>
      <c r="X44" s="3">
        <v>25</v>
      </c>
      <c r="Y44" s="3">
        <v>31</v>
      </c>
      <c r="Z44" s="3">
        <v>10345</v>
      </c>
      <c r="AA44">
        <f t="shared" si="0"/>
        <v>9310.5</v>
      </c>
    </row>
    <row r="45" spans="1:27" ht="14.25" hidden="1" customHeight="1" x14ac:dyDescent="0.35">
      <c r="A45" s="3">
        <v>44</v>
      </c>
      <c r="B45" s="3">
        <v>0</v>
      </c>
      <c r="C45" s="3" t="s">
        <v>86</v>
      </c>
      <c r="D45" s="3" t="s">
        <v>27</v>
      </c>
      <c r="E45" s="3" t="s">
        <v>28</v>
      </c>
      <c r="F45" s="3" t="s">
        <v>34</v>
      </c>
      <c r="G45" s="3" t="s">
        <v>42</v>
      </c>
      <c r="H45" s="3" t="s">
        <v>31</v>
      </c>
      <c r="I45" s="3" t="s">
        <v>32</v>
      </c>
      <c r="J45" s="3">
        <v>94.3</v>
      </c>
      <c r="K45" s="3">
        <v>170.7</v>
      </c>
      <c r="L45" s="3">
        <v>61.8</v>
      </c>
      <c r="M45" s="3">
        <v>53.5</v>
      </c>
      <c r="N45" s="3">
        <v>2337</v>
      </c>
      <c r="O45" s="3" t="s">
        <v>44</v>
      </c>
      <c r="P45" s="3" t="s">
        <v>34</v>
      </c>
      <c r="Q45" s="3">
        <v>111</v>
      </c>
      <c r="R45" s="3" t="s">
        <v>63</v>
      </c>
      <c r="S45" s="3">
        <v>3.31</v>
      </c>
      <c r="T45" s="3">
        <v>3.23</v>
      </c>
      <c r="U45" s="3">
        <v>8.5</v>
      </c>
      <c r="V45" s="3">
        <v>78</v>
      </c>
      <c r="W45" s="3">
        <v>4800</v>
      </c>
      <c r="X45" s="3">
        <v>24</v>
      </c>
      <c r="Y45" s="3">
        <v>29</v>
      </c>
      <c r="Z45" s="3">
        <v>6785</v>
      </c>
      <c r="AA45">
        <f t="shared" si="0"/>
        <v>6106.5</v>
      </c>
    </row>
    <row r="46" spans="1:27" ht="14.25" hidden="1" customHeight="1" x14ac:dyDescent="0.35">
      <c r="A46" s="3">
        <v>45</v>
      </c>
      <c r="B46" s="3">
        <v>1</v>
      </c>
      <c r="C46" s="3" t="s">
        <v>87</v>
      </c>
      <c r="D46" s="3" t="s">
        <v>27</v>
      </c>
      <c r="E46" s="3" t="s">
        <v>28</v>
      </c>
      <c r="F46" s="3" t="s">
        <v>29</v>
      </c>
      <c r="G46" s="3" t="s">
        <v>42</v>
      </c>
      <c r="H46" s="3" t="s">
        <v>43</v>
      </c>
      <c r="I46" s="3" t="s">
        <v>32</v>
      </c>
      <c r="J46" s="3">
        <v>94.5</v>
      </c>
      <c r="K46" s="3">
        <v>155.9</v>
      </c>
      <c r="L46" s="3">
        <v>63.6</v>
      </c>
      <c r="M46" s="3">
        <v>52</v>
      </c>
      <c r="N46" s="3">
        <v>1874</v>
      </c>
      <c r="O46" s="3" t="s">
        <v>44</v>
      </c>
      <c r="P46" s="3" t="s">
        <v>34</v>
      </c>
      <c r="Q46" s="3">
        <v>90</v>
      </c>
      <c r="R46" s="3" t="s">
        <v>63</v>
      </c>
      <c r="S46" s="3">
        <v>3.03</v>
      </c>
      <c r="T46" s="3">
        <v>3.11</v>
      </c>
      <c r="U46" s="3">
        <v>9.6</v>
      </c>
      <c r="V46" s="3">
        <v>70</v>
      </c>
      <c r="W46" s="3">
        <v>5400</v>
      </c>
      <c r="X46" s="3">
        <v>38</v>
      </c>
      <c r="Y46" s="3">
        <v>43</v>
      </c>
      <c r="Z46" s="3">
        <v>8916.5</v>
      </c>
      <c r="AA46">
        <f t="shared" si="0"/>
        <v>8024.85</v>
      </c>
    </row>
    <row r="47" spans="1:27" ht="14.25" hidden="1" customHeight="1" x14ac:dyDescent="0.35">
      <c r="A47" s="3">
        <v>46</v>
      </c>
      <c r="B47" s="3">
        <v>0</v>
      </c>
      <c r="C47" s="3" t="s">
        <v>88</v>
      </c>
      <c r="D47" s="3" t="s">
        <v>27</v>
      </c>
      <c r="E47" s="3" t="s">
        <v>28</v>
      </c>
      <c r="F47" s="3" t="s">
        <v>34</v>
      </c>
      <c r="G47" s="3" t="s">
        <v>42</v>
      </c>
      <c r="H47" s="3" t="s">
        <v>43</v>
      </c>
      <c r="I47" s="3" t="s">
        <v>32</v>
      </c>
      <c r="J47" s="3">
        <v>94.5</v>
      </c>
      <c r="K47" s="3">
        <v>155.9</v>
      </c>
      <c r="L47" s="3">
        <v>63.6</v>
      </c>
      <c r="M47" s="3">
        <v>52</v>
      </c>
      <c r="N47" s="3">
        <v>1909</v>
      </c>
      <c r="O47" s="3" t="s">
        <v>44</v>
      </c>
      <c r="P47" s="3" t="s">
        <v>34</v>
      </c>
      <c r="Q47" s="3">
        <v>90</v>
      </c>
      <c r="R47" s="3" t="s">
        <v>63</v>
      </c>
      <c r="S47" s="3">
        <v>3.03</v>
      </c>
      <c r="T47" s="3">
        <v>3.11</v>
      </c>
      <c r="U47" s="3">
        <v>9.6</v>
      </c>
      <c r="V47" s="3">
        <v>70</v>
      </c>
      <c r="W47" s="3">
        <v>5400</v>
      </c>
      <c r="X47" s="3">
        <v>38</v>
      </c>
      <c r="Y47" s="3">
        <v>43</v>
      </c>
      <c r="Z47" s="3">
        <v>8916.5</v>
      </c>
      <c r="AA47">
        <f t="shared" si="0"/>
        <v>8024.85</v>
      </c>
    </row>
    <row r="48" spans="1:27" ht="14.25" hidden="1" customHeight="1" x14ac:dyDescent="0.35">
      <c r="A48" s="3">
        <v>47</v>
      </c>
      <c r="B48" s="3">
        <v>2</v>
      </c>
      <c r="C48" s="3" t="s">
        <v>87</v>
      </c>
      <c r="D48" s="3" t="s">
        <v>27</v>
      </c>
      <c r="E48" s="3" t="s">
        <v>28</v>
      </c>
      <c r="F48" s="3" t="s">
        <v>29</v>
      </c>
      <c r="G48" s="3" t="s">
        <v>38</v>
      </c>
      <c r="H48" s="3" t="s">
        <v>31</v>
      </c>
      <c r="I48" s="3" t="s">
        <v>32</v>
      </c>
      <c r="J48" s="3">
        <v>96</v>
      </c>
      <c r="K48" s="3">
        <v>172.6</v>
      </c>
      <c r="L48" s="3">
        <v>65.2</v>
      </c>
      <c r="M48" s="3">
        <v>51.4</v>
      </c>
      <c r="N48" s="3">
        <v>2734</v>
      </c>
      <c r="O48" s="3" t="s">
        <v>44</v>
      </c>
      <c r="P48" s="3" t="s">
        <v>34</v>
      </c>
      <c r="Q48" s="3">
        <v>119</v>
      </c>
      <c r="R48" s="3" t="s">
        <v>89</v>
      </c>
      <c r="S48" s="3">
        <v>3.43</v>
      </c>
      <c r="T48" s="3">
        <v>3.23</v>
      </c>
      <c r="U48" s="3">
        <v>9.1999999999999993</v>
      </c>
      <c r="V48" s="3">
        <v>90</v>
      </c>
      <c r="W48" s="3">
        <v>5000</v>
      </c>
      <c r="X48" s="3">
        <v>24</v>
      </c>
      <c r="Y48" s="3">
        <v>29</v>
      </c>
      <c r="Z48" s="3">
        <v>11048</v>
      </c>
      <c r="AA48">
        <f t="shared" si="0"/>
        <v>9943.2000000000007</v>
      </c>
    </row>
    <row r="49" spans="1:27" ht="14.25" hidden="1" customHeight="1" x14ac:dyDescent="0.35">
      <c r="A49" s="3">
        <v>48</v>
      </c>
      <c r="B49" s="3">
        <v>0</v>
      </c>
      <c r="C49" s="3" t="s">
        <v>90</v>
      </c>
      <c r="D49" s="3" t="s">
        <v>27</v>
      </c>
      <c r="E49" s="3" t="s">
        <v>28</v>
      </c>
      <c r="F49" s="3" t="s">
        <v>34</v>
      </c>
      <c r="G49" s="3" t="s">
        <v>42</v>
      </c>
      <c r="H49" s="3" t="s">
        <v>31</v>
      </c>
      <c r="I49" s="3" t="s">
        <v>32</v>
      </c>
      <c r="J49" s="3">
        <v>113</v>
      </c>
      <c r="K49" s="3">
        <v>199.6</v>
      </c>
      <c r="L49" s="3">
        <v>69.599999999999994</v>
      </c>
      <c r="M49" s="3">
        <v>52.8</v>
      </c>
      <c r="N49" s="3">
        <v>4066</v>
      </c>
      <c r="O49" s="3" t="s">
        <v>33</v>
      </c>
      <c r="P49" s="3" t="s">
        <v>40</v>
      </c>
      <c r="Q49" s="3">
        <v>258</v>
      </c>
      <c r="R49" s="3" t="s">
        <v>35</v>
      </c>
      <c r="S49" s="3">
        <v>3.63</v>
      </c>
      <c r="T49" s="3">
        <v>4.17</v>
      </c>
      <c r="U49" s="3">
        <v>8.1</v>
      </c>
      <c r="V49" s="3">
        <v>176</v>
      </c>
      <c r="W49" s="3">
        <v>4750</v>
      </c>
      <c r="X49" s="3">
        <v>15</v>
      </c>
      <c r="Y49" s="3">
        <v>19</v>
      </c>
      <c r="Z49" s="3">
        <v>32250</v>
      </c>
      <c r="AA49">
        <f t="shared" si="0"/>
        <v>29025</v>
      </c>
    </row>
    <row r="50" spans="1:27" ht="14.25" hidden="1" customHeight="1" x14ac:dyDescent="0.35">
      <c r="A50" s="3">
        <v>49</v>
      </c>
      <c r="B50" s="3">
        <v>0</v>
      </c>
      <c r="C50" s="3" t="s">
        <v>91</v>
      </c>
      <c r="D50" s="3" t="s">
        <v>27</v>
      </c>
      <c r="E50" s="3" t="s">
        <v>28</v>
      </c>
      <c r="F50" s="3" t="s">
        <v>34</v>
      </c>
      <c r="G50" s="3" t="s">
        <v>42</v>
      </c>
      <c r="H50" s="3" t="s">
        <v>31</v>
      </c>
      <c r="I50" s="3" t="s">
        <v>32</v>
      </c>
      <c r="J50" s="3">
        <v>113</v>
      </c>
      <c r="K50" s="3">
        <v>199.6</v>
      </c>
      <c r="L50" s="3">
        <v>69.599999999999994</v>
      </c>
      <c r="M50" s="3">
        <v>52.8</v>
      </c>
      <c r="N50" s="3">
        <v>4066</v>
      </c>
      <c r="O50" s="3" t="s">
        <v>33</v>
      </c>
      <c r="P50" s="3" t="s">
        <v>40</v>
      </c>
      <c r="Q50" s="3">
        <v>258</v>
      </c>
      <c r="R50" s="3" t="s">
        <v>35</v>
      </c>
      <c r="S50" s="3">
        <v>3.63</v>
      </c>
      <c r="T50" s="3">
        <v>4.17</v>
      </c>
      <c r="U50" s="3">
        <v>8.1</v>
      </c>
      <c r="V50" s="3">
        <v>176</v>
      </c>
      <c r="W50" s="3">
        <v>4750</v>
      </c>
      <c r="X50" s="3">
        <v>15</v>
      </c>
      <c r="Y50" s="3">
        <v>19</v>
      </c>
      <c r="Z50" s="3">
        <v>35550</v>
      </c>
      <c r="AA50">
        <f t="shared" si="0"/>
        <v>31995</v>
      </c>
    </row>
    <row r="51" spans="1:27" ht="14.25" hidden="1" customHeight="1" x14ac:dyDescent="0.35">
      <c r="A51" s="3">
        <v>50</v>
      </c>
      <c r="B51" s="3">
        <v>0</v>
      </c>
      <c r="C51" s="3" t="s">
        <v>92</v>
      </c>
      <c r="D51" s="3" t="s">
        <v>27</v>
      </c>
      <c r="E51" s="3" t="s">
        <v>28</v>
      </c>
      <c r="F51" s="3" t="s">
        <v>29</v>
      </c>
      <c r="G51" s="3" t="s">
        <v>42</v>
      </c>
      <c r="H51" s="3" t="s">
        <v>31</v>
      </c>
      <c r="I51" s="3" t="s">
        <v>32</v>
      </c>
      <c r="J51" s="3">
        <v>102</v>
      </c>
      <c r="K51" s="3">
        <v>191.7</v>
      </c>
      <c r="L51" s="3">
        <v>70.599999999999994</v>
      </c>
      <c r="M51" s="3">
        <v>47.8</v>
      </c>
      <c r="N51" s="3">
        <v>3950</v>
      </c>
      <c r="O51" s="3" t="s">
        <v>39</v>
      </c>
      <c r="P51" s="3" t="s">
        <v>93</v>
      </c>
      <c r="Q51" s="3">
        <v>326</v>
      </c>
      <c r="R51" s="3" t="s">
        <v>35</v>
      </c>
      <c r="S51" s="3">
        <v>3.54</v>
      </c>
      <c r="T51" s="3">
        <v>2.76</v>
      </c>
      <c r="U51" s="3">
        <v>11.5</v>
      </c>
      <c r="V51" s="3">
        <v>262</v>
      </c>
      <c r="W51" s="3">
        <v>5000</v>
      </c>
      <c r="X51" s="3">
        <v>13</v>
      </c>
      <c r="Y51" s="3">
        <v>17</v>
      </c>
      <c r="Z51" s="3">
        <v>36000</v>
      </c>
      <c r="AA51">
        <f t="shared" si="0"/>
        <v>32400</v>
      </c>
    </row>
    <row r="52" spans="1:27" ht="14.25" hidden="1" customHeight="1" x14ac:dyDescent="0.35">
      <c r="A52" s="3">
        <v>51</v>
      </c>
      <c r="B52" s="3">
        <v>1</v>
      </c>
      <c r="C52" s="3" t="s">
        <v>94</v>
      </c>
      <c r="D52" s="3" t="s">
        <v>27</v>
      </c>
      <c r="E52" s="3" t="s">
        <v>28</v>
      </c>
      <c r="F52" s="3" t="s">
        <v>29</v>
      </c>
      <c r="G52" s="3" t="s">
        <v>38</v>
      </c>
      <c r="H52" s="3" t="s">
        <v>43</v>
      </c>
      <c r="I52" s="3" t="s">
        <v>32</v>
      </c>
      <c r="J52" s="3">
        <v>93.1</v>
      </c>
      <c r="K52" s="3">
        <v>159.1</v>
      </c>
      <c r="L52" s="3">
        <v>64.2</v>
      </c>
      <c r="M52" s="3">
        <v>54.1</v>
      </c>
      <c r="N52" s="3">
        <v>1890</v>
      </c>
      <c r="O52" s="3" t="s">
        <v>44</v>
      </c>
      <c r="P52" s="3" t="s">
        <v>34</v>
      </c>
      <c r="Q52" s="3">
        <v>91</v>
      </c>
      <c r="R52" s="3" t="s">
        <v>63</v>
      </c>
      <c r="S52" s="3">
        <v>3.03</v>
      </c>
      <c r="T52" s="3">
        <v>3.15</v>
      </c>
      <c r="U52" s="3">
        <v>9</v>
      </c>
      <c r="V52" s="3">
        <v>68</v>
      </c>
      <c r="W52" s="3">
        <v>5000</v>
      </c>
      <c r="X52" s="3">
        <v>30</v>
      </c>
      <c r="Y52" s="3">
        <v>31</v>
      </c>
      <c r="Z52" s="3">
        <v>5195</v>
      </c>
      <c r="AA52">
        <f t="shared" si="0"/>
        <v>4675.5</v>
      </c>
    </row>
    <row r="53" spans="1:27" ht="14.25" hidden="1" customHeight="1" x14ac:dyDescent="0.35">
      <c r="A53" s="3">
        <v>52</v>
      </c>
      <c r="B53" s="3">
        <v>1</v>
      </c>
      <c r="C53" s="3" t="s">
        <v>95</v>
      </c>
      <c r="D53" s="3" t="s">
        <v>27</v>
      </c>
      <c r="E53" s="3" t="s">
        <v>28</v>
      </c>
      <c r="F53" s="3" t="s">
        <v>29</v>
      </c>
      <c r="G53" s="3" t="s">
        <v>38</v>
      </c>
      <c r="H53" s="3" t="s">
        <v>43</v>
      </c>
      <c r="I53" s="3" t="s">
        <v>32</v>
      </c>
      <c r="J53" s="3">
        <v>93.1</v>
      </c>
      <c r="K53" s="3">
        <v>159.1</v>
      </c>
      <c r="L53" s="3">
        <v>64.2</v>
      </c>
      <c r="M53" s="3">
        <v>54.1</v>
      </c>
      <c r="N53" s="3">
        <v>1900</v>
      </c>
      <c r="O53" s="3" t="s">
        <v>44</v>
      </c>
      <c r="P53" s="3" t="s">
        <v>34</v>
      </c>
      <c r="Q53" s="3">
        <v>91</v>
      </c>
      <c r="R53" s="3" t="s">
        <v>63</v>
      </c>
      <c r="S53" s="3">
        <v>3.03</v>
      </c>
      <c r="T53" s="3">
        <v>3.15</v>
      </c>
      <c r="U53" s="3">
        <v>9</v>
      </c>
      <c r="V53" s="3">
        <v>68</v>
      </c>
      <c r="W53" s="3">
        <v>5000</v>
      </c>
      <c r="X53" s="3">
        <v>31</v>
      </c>
      <c r="Y53" s="3">
        <v>38</v>
      </c>
      <c r="Z53" s="3">
        <v>6095</v>
      </c>
      <c r="AA53">
        <f t="shared" si="0"/>
        <v>5485.5</v>
      </c>
    </row>
    <row r="54" spans="1:27" ht="14.25" hidden="1" customHeight="1" x14ac:dyDescent="0.35">
      <c r="A54" s="3">
        <v>53</v>
      </c>
      <c r="B54" s="3">
        <v>1</v>
      </c>
      <c r="C54" s="3" t="s">
        <v>96</v>
      </c>
      <c r="D54" s="3" t="s">
        <v>27</v>
      </c>
      <c r="E54" s="3" t="s">
        <v>28</v>
      </c>
      <c r="F54" s="3" t="s">
        <v>29</v>
      </c>
      <c r="G54" s="3" t="s">
        <v>38</v>
      </c>
      <c r="H54" s="3" t="s">
        <v>43</v>
      </c>
      <c r="I54" s="3" t="s">
        <v>32</v>
      </c>
      <c r="J54" s="3">
        <v>93.1</v>
      </c>
      <c r="K54" s="3">
        <v>159.1</v>
      </c>
      <c r="L54" s="3">
        <v>64.2</v>
      </c>
      <c r="M54" s="3">
        <v>54.1</v>
      </c>
      <c r="N54" s="3">
        <v>1905</v>
      </c>
      <c r="O54" s="3" t="s">
        <v>44</v>
      </c>
      <c r="P54" s="3" t="s">
        <v>34</v>
      </c>
      <c r="Q54" s="3">
        <v>91</v>
      </c>
      <c r="R54" s="3" t="s">
        <v>63</v>
      </c>
      <c r="S54" s="3">
        <v>3.03</v>
      </c>
      <c r="T54" s="3">
        <v>3.15</v>
      </c>
      <c r="U54" s="3">
        <v>9</v>
      </c>
      <c r="V54" s="3">
        <v>68</v>
      </c>
      <c r="W54" s="3">
        <v>5000</v>
      </c>
      <c r="X54" s="3">
        <v>31</v>
      </c>
      <c r="Y54" s="3">
        <v>38</v>
      </c>
      <c r="Z54" s="3">
        <v>6795</v>
      </c>
      <c r="AA54">
        <f t="shared" si="0"/>
        <v>6115.5</v>
      </c>
    </row>
    <row r="55" spans="1:27" ht="14.25" hidden="1" customHeight="1" x14ac:dyDescent="0.35">
      <c r="A55" s="3">
        <v>54</v>
      </c>
      <c r="B55" s="3">
        <v>1</v>
      </c>
      <c r="C55" s="3" t="s">
        <v>97</v>
      </c>
      <c r="D55" s="3" t="s">
        <v>27</v>
      </c>
      <c r="E55" s="3" t="s">
        <v>28</v>
      </c>
      <c r="F55" s="3" t="s">
        <v>34</v>
      </c>
      <c r="G55" s="3" t="s">
        <v>42</v>
      </c>
      <c r="H55" s="3" t="s">
        <v>43</v>
      </c>
      <c r="I55" s="3" t="s">
        <v>32</v>
      </c>
      <c r="J55" s="3">
        <v>93.1</v>
      </c>
      <c r="K55" s="3">
        <v>166.8</v>
      </c>
      <c r="L55" s="3">
        <v>64.2</v>
      </c>
      <c r="M55" s="3">
        <v>54.1</v>
      </c>
      <c r="N55" s="3">
        <v>1945</v>
      </c>
      <c r="O55" s="3" t="s">
        <v>44</v>
      </c>
      <c r="P55" s="3" t="s">
        <v>34</v>
      </c>
      <c r="Q55" s="3">
        <v>91</v>
      </c>
      <c r="R55" s="3" t="s">
        <v>63</v>
      </c>
      <c r="S55" s="3">
        <v>3.03</v>
      </c>
      <c r="T55" s="3">
        <v>3.15</v>
      </c>
      <c r="U55" s="3">
        <v>9</v>
      </c>
      <c r="V55" s="3">
        <v>68</v>
      </c>
      <c r="W55" s="3">
        <v>5000</v>
      </c>
      <c r="X55" s="3">
        <v>31</v>
      </c>
      <c r="Y55" s="3">
        <v>38</v>
      </c>
      <c r="Z55" s="3">
        <v>6695</v>
      </c>
      <c r="AA55">
        <f t="shared" si="0"/>
        <v>6025.5</v>
      </c>
    </row>
    <row r="56" spans="1:27" ht="14.25" hidden="1" customHeight="1" x14ac:dyDescent="0.35">
      <c r="A56" s="3">
        <v>55</v>
      </c>
      <c r="B56" s="3">
        <v>1</v>
      </c>
      <c r="C56" s="3" t="s">
        <v>98</v>
      </c>
      <c r="D56" s="3" t="s">
        <v>27</v>
      </c>
      <c r="E56" s="3" t="s">
        <v>28</v>
      </c>
      <c r="F56" s="3" t="s">
        <v>34</v>
      </c>
      <c r="G56" s="3" t="s">
        <v>42</v>
      </c>
      <c r="H56" s="3" t="s">
        <v>43</v>
      </c>
      <c r="I56" s="3" t="s">
        <v>32</v>
      </c>
      <c r="J56" s="3">
        <v>93.1</v>
      </c>
      <c r="K56" s="3">
        <v>166.8</v>
      </c>
      <c r="L56" s="3">
        <v>64.2</v>
      </c>
      <c r="M56" s="3">
        <v>54.1</v>
      </c>
      <c r="N56" s="3">
        <v>1950</v>
      </c>
      <c r="O56" s="3" t="s">
        <v>44</v>
      </c>
      <c r="P56" s="3" t="s">
        <v>34</v>
      </c>
      <c r="Q56" s="3">
        <v>91</v>
      </c>
      <c r="R56" s="3" t="s">
        <v>63</v>
      </c>
      <c r="S56" s="3">
        <v>3.08</v>
      </c>
      <c r="T56" s="3">
        <v>3.15</v>
      </c>
      <c r="U56" s="3">
        <v>9</v>
      </c>
      <c r="V56" s="3">
        <v>68</v>
      </c>
      <c r="W56" s="3">
        <v>5000</v>
      </c>
      <c r="X56" s="3">
        <v>31</v>
      </c>
      <c r="Y56" s="3">
        <v>38</v>
      </c>
      <c r="Z56" s="3">
        <v>7395</v>
      </c>
      <c r="AA56">
        <f t="shared" si="0"/>
        <v>6655.5</v>
      </c>
    </row>
    <row r="57" spans="1:27" ht="14.25" hidden="1" customHeight="1" x14ac:dyDescent="0.35">
      <c r="A57" s="3">
        <v>56</v>
      </c>
      <c r="B57" s="3">
        <v>3</v>
      </c>
      <c r="C57" s="3" t="s">
        <v>99</v>
      </c>
      <c r="D57" s="3" t="s">
        <v>27</v>
      </c>
      <c r="E57" s="3" t="s">
        <v>28</v>
      </c>
      <c r="F57" s="3" t="s">
        <v>29</v>
      </c>
      <c r="G57" s="3" t="s">
        <v>38</v>
      </c>
      <c r="H57" s="3" t="s">
        <v>31</v>
      </c>
      <c r="I57" s="3" t="s">
        <v>32</v>
      </c>
      <c r="J57" s="3">
        <v>95.3</v>
      </c>
      <c r="K57" s="3">
        <v>169</v>
      </c>
      <c r="L57" s="3">
        <v>65.7</v>
      </c>
      <c r="M57" s="3">
        <v>49.6</v>
      </c>
      <c r="N57" s="3">
        <v>2380</v>
      </c>
      <c r="O57" s="3" t="s">
        <v>100</v>
      </c>
      <c r="P57" s="3" t="s">
        <v>29</v>
      </c>
      <c r="Q57" s="3">
        <v>70</v>
      </c>
      <c r="R57" s="3" t="s">
        <v>101</v>
      </c>
      <c r="S57" s="3">
        <v>3.33</v>
      </c>
      <c r="T57" s="3">
        <v>3.2549999999999999</v>
      </c>
      <c r="U57" s="3">
        <v>9.4</v>
      </c>
      <c r="V57" s="3">
        <v>101</v>
      </c>
      <c r="W57" s="3">
        <v>6000</v>
      </c>
      <c r="X57" s="3">
        <v>17</v>
      </c>
      <c r="Y57" s="3">
        <v>23</v>
      </c>
      <c r="Z57" s="3">
        <v>10945</v>
      </c>
      <c r="AA57">
        <f t="shared" si="0"/>
        <v>9850.5</v>
      </c>
    </row>
    <row r="58" spans="1:27" ht="14.25" hidden="1" customHeight="1" x14ac:dyDescent="0.35">
      <c r="A58" s="3">
        <v>57</v>
      </c>
      <c r="B58" s="3">
        <v>3</v>
      </c>
      <c r="C58" s="3" t="s">
        <v>102</v>
      </c>
      <c r="D58" s="3" t="s">
        <v>27</v>
      </c>
      <c r="E58" s="3" t="s">
        <v>28</v>
      </c>
      <c r="F58" s="3" t="s">
        <v>29</v>
      </c>
      <c r="G58" s="3" t="s">
        <v>38</v>
      </c>
      <c r="H58" s="3" t="s">
        <v>31</v>
      </c>
      <c r="I58" s="3" t="s">
        <v>32</v>
      </c>
      <c r="J58" s="3">
        <v>95.3</v>
      </c>
      <c r="K58" s="3">
        <v>169</v>
      </c>
      <c r="L58" s="3">
        <v>65.7</v>
      </c>
      <c r="M58" s="3">
        <v>49.6</v>
      </c>
      <c r="N58" s="3">
        <v>2380</v>
      </c>
      <c r="O58" s="3" t="s">
        <v>100</v>
      </c>
      <c r="P58" s="3" t="s">
        <v>29</v>
      </c>
      <c r="Q58" s="3">
        <v>70</v>
      </c>
      <c r="R58" s="3" t="s">
        <v>101</v>
      </c>
      <c r="S58" s="3">
        <v>3.33</v>
      </c>
      <c r="T58" s="3">
        <v>3.2549999999999999</v>
      </c>
      <c r="U58" s="3">
        <v>9.4</v>
      </c>
      <c r="V58" s="3">
        <v>101</v>
      </c>
      <c r="W58" s="3">
        <v>6000</v>
      </c>
      <c r="X58" s="3">
        <v>17</v>
      </c>
      <c r="Y58" s="3">
        <v>23</v>
      </c>
      <c r="Z58" s="3">
        <v>11845</v>
      </c>
      <c r="AA58">
        <f t="shared" si="0"/>
        <v>10660.5</v>
      </c>
    </row>
    <row r="59" spans="1:27" ht="14.25" hidden="1" customHeight="1" x14ac:dyDescent="0.35">
      <c r="A59" s="3">
        <v>58</v>
      </c>
      <c r="B59" s="3">
        <v>3</v>
      </c>
      <c r="C59" s="3" t="s">
        <v>103</v>
      </c>
      <c r="D59" s="3" t="s">
        <v>27</v>
      </c>
      <c r="E59" s="3" t="s">
        <v>28</v>
      </c>
      <c r="F59" s="3" t="s">
        <v>29</v>
      </c>
      <c r="G59" s="3" t="s">
        <v>38</v>
      </c>
      <c r="H59" s="3" t="s">
        <v>31</v>
      </c>
      <c r="I59" s="3" t="s">
        <v>32</v>
      </c>
      <c r="J59" s="3">
        <v>95.3</v>
      </c>
      <c r="K59" s="3">
        <v>169</v>
      </c>
      <c r="L59" s="3">
        <v>65.7</v>
      </c>
      <c r="M59" s="3">
        <v>49.6</v>
      </c>
      <c r="N59" s="3">
        <v>2385</v>
      </c>
      <c r="O59" s="3" t="s">
        <v>100</v>
      </c>
      <c r="P59" s="3" t="s">
        <v>29</v>
      </c>
      <c r="Q59" s="3">
        <v>70</v>
      </c>
      <c r="R59" s="3" t="s">
        <v>101</v>
      </c>
      <c r="S59" s="3">
        <v>3.33</v>
      </c>
      <c r="T59" s="3">
        <v>3.2549999999999999</v>
      </c>
      <c r="U59" s="3">
        <v>9.4</v>
      </c>
      <c r="V59" s="3">
        <v>101</v>
      </c>
      <c r="W59" s="3">
        <v>6000</v>
      </c>
      <c r="X59" s="3">
        <v>17</v>
      </c>
      <c r="Y59" s="3">
        <v>23</v>
      </c>
      <c r="Z59" s="3">
        <v>13645</v>
      </c>
      <c r="AA59">
        <f t="shared" si="0"/>
        <v>12280.5</v>
      </c>
    </row>
    <row r="60" spans="1:27" ht="14.25" hidden="1" customHeight="1" x14ac:dyDescent="0.35">
      <c r="A60" s="3">
        <v>59</v>
      </c>
      <c r="B60" s="3">
        <v>3</v>
      </c>
      <c r="C60" s="3" t="s">
        <v>104</v>
      </c>
      <c r="D60" s="3" t="s">
        <v>27</v>
      </c>
      <c r="E60" s="3" t="s">
        <v>28</v>
      </c>
      <c r="F60" s="3" t="s">
        <v>29</v>
      </c>
      <c r="G60" s="3" t="s">
        <v>38</v>
      </c>
      <c r="H60" s="3" t="s">
        <v>31</v>
      </c>
      <c r="I60" s="3" t="s">
        <v>32</v>
      </c>
      <c r="J60" s="3">
        <v>95.3</v>
      </c>
      <c r="K60" s="3">
        <v>169</v>
      </c>
      <c r="L60" s="3">
        <v>65.7</v>
      </c>
      <c r="M60" s="3">
        <v>49.6</v>
      </c>
      <c r="N60" s="3">
        <v>2500</v>
      </c>
      <c r="O60" s="3" t="s">
        <v>100</v>
      </c>
      <c r="P60" s="3" t="s">
        <v>29</v>
      </c>
      <c r="Q60" s="3">
        <v>80</v>
      </c>
      <c r="R60" s="3" t="s">
        <v>35</v>
      </c>
      <c r="S60" s="3">
        <v>3.33</v>
      </c>
      <c r="T60" s="3">
        <v>3.2549999999999999</v>
      </c>
      <c r="U60" s="3">
        <v>9.4</v>
      </c>
      <c r="V60" s="3">
        <v>135</v>
      </c>
      <c r="W60" s="3">
        <v>6000</v>
      </c>
      <c r="X60" s="3">
        <v>16</v>
      </c>
      <c r="Y60" s="3">
        <v>23</v>
      </c>
      <c r="Z60" s="3">
        <v>15645</v>
      </c>
      <c r="AA60">
        <f t="shared" si="0"/>
        <v>14080.5</v>
      </c>
    </row>
    <row r="61" spans="1:27" ht="14.25" hidden="1" customHeight="1" x14ac:dyDescent="0.35">
      <c r="A61" s="3">
        <v>60</v>
      </c>
      <c r="B61" s="3">
        <v>1</v>
      </c>
      <c r="C61" s="3" t="s">
        <v>99</v>
      </c>
      <c r="D61" s="3" t="s">
        <v>27</v>
      </c>
      <c r="E61" s="3" t="s">
        <v>28</v>
      </c>
      <c r="F61" s="3" t="s">
        <v>29</v>
      </c>
      <c r="G61" s="3" t="s">
        <v>38</v>
      </c>
      <c r="H61" s="3" t="s">
        <v>43</v>
      </c>
      <c r="I61" s="3" t="s">
        <v>32</v>
      </c>
      <c r="J61" s="3">
        <v>98.8</v>
      </c>
      <c r="K61" s="3">
        <v>177.8</v>
      </c>
      <c r="L61" s="3">
        <v>66.5</v>
      </c>
      <c r="M61" s="3">
        <v>53.7</v>
      </c>
      <c r="N61" s="3">
        <v>2385</v>
      </c>
      <c r="O61" s="3" t="s">
        <v>44</v>
      </c>
      <c r="P61" s="3" t="s">
        <v>34</v>
      </c>
      <c r="Q61" s="3">
        <v>122</v>
      </c>
      <c r="R61" s="3" t="s">
        <v>63</v>
      </c>
      <c r="S61" s="3">
        <v>3.39</v>
      </c>
      <c r="T61" s="3">
        <v>3.39</v>
      </c>
      <c r="U61" s="3">
        <v>8.6</v>
      </c>
      <c r="V61" s="3">
        <v>84</v>
      </c>
      <c r="W61" s="3">
        <v>4800</v>
      </c>
      <c r="X61" s="3">
        <v>26</v>
      </c>
      <c r="Y61" s="3">
        <v>32</v>
      </c>
      <c r="Z61" s="3">
        <v>8845</v>
      </c>
      <c r="AA61">
        <f t="shared" si="0"/>
        <v>7960.5</v>
      </c>
    </row>
    <row r="62" spans="1:27" ht="14.25" hidden="1" customHeight="1" x14ac:dyDescent="0.35">
      <c r="A62" s="3">
        <v>61</v>
      </c>
      <c r="B62" s="3">
        <v>0</v>
      </c>
      <c r="C62" s="3" t="s">
        <v>105</v>
      </c>
      <c r="D62" s="3" t="s">
        <v>27</v>
      </c>
      <c r="E62" s="3" t="s">
        <v>28</v>
      </c>
      <c r="F62" s="3" t="s">
        <v>34</v>
      </c>
      <c r="G62" s="3" t="s">
        <v>42</v>
      </c>
      <c r="H62" s="3" t="s">
        <v>43</v>
      </c>
      <c r="I62" s="3" t="s">
        <v>32</v>
      </c>
      <c r="J62" s="3">
        <v>98.8</v>
      </c>
      <c r="K62" s="3">
        <v>177.8</v>
      </c>
      <c r="L62" s="3">
        <v>66.5</v>
      </c>
      <c r="M62" s="3">
        <v>55.5</v>
      </c>
      <c r="N62" s="3">
        <v>2410</v>
      </c>
      <c r="O62" s="3" t="s">
        <v>44</v>
      </c>
      <c r="P62" s="3" t="s">
        <v>34</v>
      </c>
      <c r="Q62" s="3">
        <v>122</v>
      </c>
      <c r="R62" s="3" t="s">
        <v>63</v>
      </c>
      <c r="S62" s="3">
        <v>3.39</v>
      </c>
      <c r="T62" s="3">
        <v>3.39</v>
      </c>
      <c r="U62" s="3">
        <v>8.6</v>
      </c>
      <c r="V62" s="3">
        <v>84</v>
      </c>
      <c r="W62" s="3">
        <v>4800</v>
      </c>
      <c r="X62" s="3">
        <v>26</v>
      </c>
      <c r="Y62" s="3">
        <v>32</v>
      </c>
      <c r="Z62" s="3">
        <v>8495</v>
      </c>
      <c r="AA62">
        <f t="shared" si="0"/>
        <v>7645.5</v>
      </c>
    </row>
    <row r="63" spans="1:27" ht="14.25" hidden="1" customHeight="1" x14ac:dyDescent="0.35">
      <c r="A63" s="3">
        <v>62</v>
      </c>
      <c r="B63" s="3">
        <v>1</v>
      </c>
      <c r="C63" s="3" t="s">
        <v>106</v>
      </c>
      <c r="D63" s="3" t="s">
        <v>27</v>
      </c>
      <c r="E63" s="3" t="s">
        <v>28</v>
      </c>
      <c r="F63" s="3" t="s">
        <v>29</v>
      </c>
      <c r="G63" s="3" t="s">
        <v>38</v>
      </c>
      <c r="H63" s="3" t="s">
        <v>43</v>
      </c>
      <c r="I63" s="3" t="s">
        <v>32</v>
      </c>
      <c r="J63" s="3">
        <v>98.8</v>
      </c>
      <c r="K63" s="3">
        <v>177.8</v>
      </c>
      <c r="L63" s="3">
        <v>66.5</v>
      </c>
      <c r="M63" s="3">
        <v>53.7</v>
      </c>
      <c r="N63" s="3">
        <v>2385</v>
      </c>
      <c r="O63" s="3" t="s">
        <v>44</v>
      </c>
      <c r="P63" s="3" t="s">
        <v>34</v>
      </c>
      <c r="Q63" s="3">
        <v>122</v>
      </c>
      <c r="R63" s="3" t="s">
        <v>63</v>
      </c>
      <c r="S63" s="3">
        <v>3.39</v>
      </c>
      <c r="T63" s="3">
        <v>3.39</v>
      </c>
      <c r="U63" s="3">
        <v>8.6</v>
      </c>
      <c r="V63" s="3">
        <v>84</v>
      </c>
      <c r="W63" s="3">
        <v>4800</v>
      </c>
      <c r="X63" s="3">
        <v>26</v>
      </c>
      <c r="Y63" s="3">
        <v>32</v>
      </c>
      <c r="Z63" s="3">
        <v>10595</v>
      </c>
      <c r="AA63">
        <f t="shared" si="0"/>
        <v>9535.5</v>
      </c>
    </row>
    <row r="64" spans="1:27" ht="14.25" hidden="1" customHeight="1" x14ac:dyDescent="0.35">
      <c r="A64" s="3">
        <v>63</v>
      </c>
      <c r="B64" s="3">
        <v>0</v>
      </c>
      <c r="C64" s="3" t="s">
        <v>97</v>
      </c>
      <c r="D64" s="3" t="s">
        <v>27</v>
      </c>
      <c r="E64" s="3" t="s">
        <v>28</v>
      </c>
      <c r="F64" s="3" t="s">
        <v>34</v>
      </c>
      <c r="G64" s="3" t="s">
        <v>42</v>
      </c>
      <c r="H64" s="3" t="s">
        <v>43</v>
      </c>
      <c r="I64" s="3" t="s">
        <v>32</v>
      </c>
      <c r="J64" s="3">
        <v>98.8</v>
      </c>
      <c r="K64" s="3">
        <v>177.8</v>
      </c>
      <c r="L64" s="3">
        <v>66.5</v>
      </c>
      <c r="M64" s="3">
        <v>55.5</v>
      </c>
      <c r="N64" s="3">
        <v>2410</v>
      </c>
      <c r="O64" s="3" t="s">
        <v>44</v>
      </c>
      <c r="P64" s="3" t="s">
        <v>34</v>
      </c>
      <c r="Q64" s="3">
        <v>122</v>
      </c>
      <c r="R64" s="3" t="s">
        <v>63</v>
      </c>
      <c r="S64" s="3">
        <v>3.39</v>
      </c>
      <c r="T64" s="3">
        <v>3.39</v>
      </c>
      <c r="U64" s="3">
        <v>8.6</v>
      </c>
      <c r="V64" s="3">
        <v>84</v>
      </c>
      <c r="W64" s="3">
        <v>4800</v>
      </c>
      <c r="X64" s="3">
        <v>26</v>
      </c>
      <c r="Y64" s="3">
        <v>32</v>
      </c>
      <c r="Z64" s="3">
        <v>10245</v>
      </c>
      <c r="AA64">
        <f t="shared" si="0"/>
        <v>9220.5</v>
      </c>
    </row>
    <row r="65" spans="1:27" ht="14.25" customHeight="1" x14ac:dyDescent="0.35">
      <c r="A65" s="3">
        <v>64</v>
      </c>
      <c r="B65" s="3">
        <v>0</v>
      </c>
      <c r="C65" s="3" t="s">
        <v>98</v>
      </c>
      <c r="D65" s="3" t="s">
        <v>107</v>
      </c>
      <c r="E65" s="3" t="s">
        <v>28</v>
      </c>
      <c r="F65" s="3" t="s">
        <v>34</v>
      </c>
      <c r="G65" s="3" t="s">
        <v>42</v>
      </c>
      <c r="H65" s="3" t="s">
        <v>43</v>
      </c>
      <c r="I65" s="3" t="s">
        <v>32</v>
      </c>
      <c r="J65" s="3">
        <v>98.8</v>
      </c>
      <c r="K65" s="3">
        <v>177.8</v>
      </c>
      <c r="L65" s="3">
        <v>66.5</v>
      </c>
      <c r="M65" s="3">
        <v>55.5</v>
      </c>
      <c r="N65" s="3">
        <v>2443</v>
      </c>
      <c r="O65" s="3" t="s">
        <v>44</v>
      </c>
      <c r="P65" s="3" t="s">
        <v>34</v>
      </c>
      <c r="Q65" s="3">
        <v>122</v>
      </c>
      <c r="R65" s="3" t="s">
        <v>108</v>
      </c>
      <c r="S65" s="3">
        <v>3.39</v>
      </c>
      <c r="T65" s="3">
        <v>3.39</v>
      </c>
      <c r="U65" s="3">
        <v>22.7</v>
      </c>
      <c r="V65" s="3">
        <v>64</v>
      </c>
      <c r="W65" s="3">
        <v>4650</v>
      </c>
      <c r="X65" s="3">
        <v>36</v>
      </c>
      <c r="Y65" s="3">
        <v>42</v>
      </c>
      <c r="Z65" s="3">
        <v>10795</v>
      </c>
      <c r="AA65">
        <f t="shared" si="0"/>
        <v>9715.5</v>
      </c>
    </row>
    <row r="66" spans="1:27" ht="14.25" hidden="1" customHeight="1" x14ac:dyDescent="0.35">
      <c r="A66" s="3">
        <v>65</v>
      </c>
      <c r="B66" s="3">
        <v>0</v>
      </c>
      <c r="C66" s="3" t="s">
        <v>99</v>
      </c>
      <c r="D66" s="3" t="s">
        <v>27</v>
      </c>
      <c r="E66" s="3" t="s">
        <v>28</v>
      </c>
      <c r="F66" s="3" t="s">
        <v>34</v>
      </c>
      <c r="G66" s="3" t="s">
        <v>38</v>
      </c>
      <c r="H66" s="3" t="s">
        <v>43</v>
      </c>
      <c r="I66" s="3" t="s">
        <v>32</v>
      </c>
      <c r="J66" s="3">
        <v>98.8</v>
      </c>
      <c r="K66" s="3">
        <v>177.8</v>
      </c>
      <c r="L66" s="3">
        <v>66.5</v>
      </c>
      <c r="M66" s="3">
        <v>55.5</v>
      </c>
      <c r="N66" s="3">
        <v>2425</v>
      </c>
      <c r="O66" s="3" t="s">
        <v>44</v>
      </c>
      <c r="P66" s="3" t="s">
        <v>34</v>
      </c>
      <c r="Q66" s="3">
        <v>122</v>
      </c>
      <c r="R66" s="3" t="s">
        <v>63</v>
      </c>
      <c r="S66" s="3">
        <v>3.39</v>
      </c>
      <c r="T66" s="3">
        <v>3.39</v>
      </c>
      <c r="U66" s="3">
        <v>8.6</v>
      </c>
      <c r="V66" s="3">
        <v>84</v>
      </c>
      <c r="W66" s="3">
        <v>4800</v>
      </c>
      <c r="X66" s="3">
        <v>26</v>
      </c>
      <c r="Y66" s="3">
        <v>32</v>
      </c>
      <c r="Z66" s="3">
        <v>11245</v>
      </c>
      <c r="AA66">
        <f t="shared" si="0"/>
        <v>10120.5</v>
      </c>
    </row>
    <row r="67" spans="1:27" ht="14.25" hidden="1" customHeight="1" x14ac:dyDescent="0.35">
      <c r="A67" s="3">
        <v>66</v>
      </c>
      <c r="B67" s="3">
        <v>0</v>
      </c>
      <c r="C67" s="3" t="s">
        <v>102</v>
      </c>
      <c r="D67" s="3" t="s">
        <v>27</v>
      </c>
      <c r="E67" s="3" t="s">
        <v>28</v>
      </c>
      <c r="F67" s="3" t="s">
        <v>34</v>
      </c>
      <c r="G67" s="3" t="s">
        <v>42</v>
      </c>
      <c r="H67" s="3" t="s">
        <v>31</v>
      </c>
      <c r="I67" s="3" t="s">
        <v>32</v>
      </c>
      <c r="J67" s="3">
        <v>104.9</v>
      </c>
      <c r="K67" s="3">
        <v>175</v>
      </c>
      <c r="L67" s="3">
        <v>66.099999999999994</v>
      </c>
      <c r="M67" s="3">
        <v>54.4</v>
      </c>
      <c r="N67" s="3">
        <v>2670</v>
      </c>
      <c r="O67" s="3" t="s">
        <v>44</v>
      </c>
      <c r="P67" s="3" t="s">
        <v>34</v>
      </c>
      <c r="Q67" s="3">
        <v>140</v>
      </c>
      <c r="R67" s="3" t="s">
        <v>35</v>
      </c>
      <c r="S67" s="3">
        <v>3.76</v>
      </c>
      <c r="T67" s="3">
        <v>3.16</v>
      </c>
      <c r="U67" s="3">
        <v>8</v>
      </c>
      <c r="V67" s="3">
        <v>120</v>
      </c>
      <c r="W67" s="3">
        <v>5000</v>
      </c>
      <c r="X67" s="3">
        <v>19</v>
      </c>
      <c r="Y67" s="3">
        <v>27</v>
      </c>
      <c r="Z67" s="3">
        <v>18280</v>
      </c>
      <c r="AA67">
        <f t="shared" si="0"/>
        <v>16452</v>
      </c>
    </row>
    <row r="68" spans="1:27" ht="14.25" customHeight="1" x14ac:dyDescent="0.35">
      <c r="A68" s="3">
        <v>67</v>
      </c>
      <c r="B68" s="3">
        <v>0</v>
      </c>
      <c r="C68" s="3" t="s">
        <v>103</v>
      </c>
      <c r="D68" s="3" t="s">
        <v>107</v>
      </c>
      <c r="E68" s="3" t="s">
        <v>28</v>
      </c>
      <c r="F68" s="3" t="s">
        <v>34</v>
      </c>
      <c r="G68" s="3" t="s">
        <v>42</v>
      </c>
      <c r="H68" s="3" t="s">
        <v>31</v>
      </c>
      <c r="I68" s="3" t="s">
        <v>32</v>
      </c>
      <c r="J68" s="3">
        <v>104.9</v>
      </c>
      <c r="K68" s="3">
        <v>175</v>
      </c>
      <c r="L68" s="3">
        <v>66.099999999999994</v>
      </c>
      <c r="M68" s="3">
        <v>54.4</v>
      </c>
      <c r="N68" s="3">
        <v>2700</v>
      </c>
      <c r="O68" s="3" t="s">
        <v>44</v>
      </c>
      <c r="P68" s="3" t="s">
        <v>34</v>
      </c>
      <c r="Q68" s="3">
        <v>134</v>
      </c>
      <c r="R68" s="3" t="s">
        <v>108</v>
      </c>
      <c r="S68" s="3">
        <v>3.43</v>
      </c>
      <c r="T68" s="3">
        <v>3.64</v>
      </c>
      <c r="U68" s="3">
        <v>22</v>
      </c>
      <c r="V68" s="3">
        <v>72</v>
      </c>
      <c r="W68" s="3">
        <v>4200</v>
      </c>
      <c r="X68" s="3">
        <v>31</v>
      </c>
      <c r="Y68" s="3">
        <v>39</v>
      </c>
      <c r="Z68" s="3">
        <v>18344</v>
      </c>
      <c r="AA68">
        <f t="shared" si="0"/>
        <v>16509.600000000002</v>
      </c>
    </row>
    <row r="69" spans="1:27" ht="14.25" customHeight="1" x14ac:dyDescent="0.35">
      <c r="A69" s="3">
        <v>68</v>
      </c>
      <c r="B69" s="3">
        <v>-1</v>
      </c>
      <c r="C69" s="3" t="s">
        <v>109</v>
      </c>
      <c r="D69" s="3" t="s">
        <v>107</v>
      </c>
      <c r="E69" s="3" t="s">
        <v>52</v>
      </c>
      <c r="F69" s="3" t="s">
        <v>34</v>
      </c>
      <c r="G69" s="3" t="s">
        <v>42</v>
      </c>
      <c r="H69" s="3" t="s">
        <v>31</v>
      </c>
      <c r="I69" s="3" t="s">
        <v>32</v>
      </c>
      <c r="J69" s="3">
        <v>110</v>
      </c>
      <c r="K69" s="3">
        <v>190.9</v>
      </c>
      <c r="L69" s="3">
        <v>70.3</v>
      </c>
      <c r="M69" s="3">
        <v>56.5</v>
      </c>
      <c r="N69" s="3">
        <v>3515</v>
      </c>
      <c r="O69" s="3" t="s">
        <v>44</v>
      </c>
      <c r="P69" s="3" t="s">
        <v>47</v>
      </c>
      <c r="Q69" s="3">
        <v>183</v>
      </c>
      <c r="R69" s="3" t="s">
        <v>108</v>
      </c>
      <c r="S69" s="3">
        <v>3.58</v>
      </c>
      <c r="T69" s="3">
        <v>3.64</v>
      </c>
      <c r="U69" s="3">
        <v>21.5</v>
      </c>
      <c r="V69" s="3">
        <v>123</v>
      </c>
      <c r="W69" s="3">
        <v>4350</v>
      </c>
      <c r="X69" s="3">
        <v>22</v>
      </c>
      <c r="Y69" s="3">
        <v>25</v>
      </c>
      <c r="Z69" s="3">
        <v>25552</v>
      </c>
      <c r="AA69">
        <f t="shared" ref="AA69:AA132" si="1">Z69*0.9</f>
        <v>22996.799999999999</v>
      </c>
    </row>
    <row r="70" spans="1:27" ht="14.25" customHeight="1" x14ac:dyDescent="0.35">
      <c r="A70" s="3">
        <v>69</v>
      </c>
      <c r="B70" s="3">
        <v>-1</v>
      </c>
      <c r="C70" s="3" t="s">
        <v>110</v>
      </c>
      <c r="D70" s="3" t="s">
        <v>107</v>
      </c>
      <c r="E70" s="3" t="s">
        <v>52</v>
      </c>
      <c r="F70" s="3" t="s">
        <v>34</v>
      </c>
      <c r="G70" s="3" t="s">
        <v>50</v>
      </c>
      <c r="H70" s="3" t="s">
        <v>31</v>
      </c>
      <c r="I70" s="3" t="s">
        <v>32</v>
      </c>
      <c r="J70" s="3">
        <v>110</v>
      </c>
      <c r="K70" s="3">
        <v>190.9</v>
      </c>
      <c r="L70" s="3">
        <v>70.3</v>
      </c>
      <c r="M70" s="3">
        <v>58.7</v>
      </c>
      <c r="N70" s="3">
        <v>3750</v>
      </c>
      <c r="O70" s="3" t="s">
        <v>44</v>
      </c>
      <c r="P70" s="3" t="s">
        <v>47</v>
      </c>
      <c r="Q70" s="3">
        <v>183</v>
      </c>
      <c r="R70" s="3" t="s">
        <v>108</v>
      </c>
      <c r="S70" s="3">
        <v>3.58</v>
      </c>
      <c r="T70" s="3">
        <v>3.64</v>
      </c>
      <c r="U70" s="3">
        <v>21.5</v>
      </c>
      <c r="V70" s="3">
        <v>123</v>
      </c>
      <c r="W70" s="3">
        <v>4350</v>
      </c>
      <c r="X70" s="3">
        <v>22</v>
      </c>
      <c r="Y70" s="3">
        <v>25</v>
      </c>
      <c r="Z70" s="3">
        <v>28248</v>
      </c>
      <c r="AA70">
        <f t="shared" si="1"/>
        <v>25423.200000000001</v>
      </c>
    </row>
    <row r="71" spans="1:27" ht="14.25" customHeight="1" x14ac:dyDescent="0.35">
      <c r="A71" s="3">
        <v>70</v>
      </c>
      <c r="B71" s="3">
        <v>0</v>
      </c>
      <c r="C71" s="3" t="s">
        <v>111</v>
      </c>
      <c r="D71" s="3" t="s">
        <v>107</v>
      </c>
      <c r="E71" s="3" t="s">
        <v>52</v>
      </c>
      <c r="F71" s="3" t="s">
        <v>29</v>
      </c>
      <c r="G71" s="3" t="s">
        <v>112</v>
      </c>
      <c r="H71" s="3" t="s">
        <v>31</v>
      </c>
      <c r="I71" s="3" t="s">
        <v>32</v>
      </c>
      <c r="J71" s="3">
        <v>106.7</v>
      </c>
      <c r="K71" s="3">
        <v>187.5</v>
      </c>
      <c r="L71" s="3">
        <v>70.3</v>
      </c>
      <c r="M71" s="3">
        <v>54.9</v>
      </c>
      <c r="N71" s="3">
        <v>3495</v>
      </c>
      <c r="O71" s="3" t="s">
        <v>44</v>
      </c>
      <c r="P71" s="3" t="s">
        <v>47</v>
      </c>
      <c r="Q71" s="3">
        <v>183</v>
      </c>
      <c r="R71" s="3" t="s">
        <v>108</v>
      </c>
      <c r="S71" s="3">
        <v>3.58</v>
      </c>
      <c r="T71" s="3">
        <v>3.64</v>
      </c>
      <c r="U71" s="3">
        <v>21.5</v>
      </c>
      <c r="V71" s="3">
        <v>123</v>
      </c>
      <c r="W71" s="3">
        <v>4350</v>
      </c>
      <c r="X71" s="3">
        <v>22</v>
      </c>
      <c r="Y71" s="3">
        <v>25</v>
      </c>
      <c r="Z71" s="3">
        <v>28176</v>
      </c>
      <c r="AA71">
        <f t="shared" si="1"/>
        <v>25358.400000000001</v>
      </c>
    </row>
    <row r="72" spans="1:27" ht="14.25" customHeight="1" x14ac:dyDescent="0.35">
      <c r="A72" s="3">
        <v>71</v>
      </c>
      <c r="B72" s="3">
        <v>-1</v>
      </c>
      <c r="C72" s="3" t="s">
        <v>113</v>
      </c>
      <c r="D72" s="3" t="s">
        <v>107</v>
      </c>
      <c r="E72" s="3" t="s">
        <v>52</v>
      </c>
      <c r="F72" s="3" t="s">
        <v>34</v>
      </c>
      <c r="G72" s="3" t="s">
        <v>42</v>
      </c>
      <c r="H72" s="3" t="s">
        <v>31</v>
      </c>
      <c r="I72" s="3" t="s">
        <v>32</v>
      </c>
      <c r="J72" s="3">
        <v>115.6</v>
      </c>
      <c r="K72" s="3">
        <v>202.6</v>
      </c>
      <c r="L72" s="3">
        <v>71.7</v>
      </c>
      <c r="M72" s="3">
        <v>56.3</v>
      </c>
      <c r="N72" s="3">
        <v>3770</v>
      </c>
      <c r="O72" s="3" t="s">
        <v>44</v>
      </c>
      <c r="P72" s="3" t="s">
        <v>47</v>
      </c>
      <c r="Q72" s="3">
        <v>183</v>
      </c>
      <c r="R72" s="3" t="s">
        <v>108</v>
      </c>
      <c r="S72" s="3">
        <v>3.58</v>
      </c>
      <c r="T72" s="3">
        <v>3.64</v>
      </c>
      <c r="U72" s="3">
        <v>21.5</v>
      </c>
      <c r="V72" s="3">
        <v>123</v>
      </c>
      <c r="W72" s="3">
        <v>4350</v>
      </c>
      <c r="X72" s="3">
        <v>22</v>
      </c>
      <c r="Y72" s="3">
        <v>25</v>
      </c>
      <c r="Z72" s="3">
        <v>31600</v>
      </c>
      <c r="AA72">
        <f t="shared" si="1"/>
        <v>28440</v>
      </c>
    </row>
    <row r="73" spans="1:27" ht="14.25" hidden="1" customHeight="1" x14ac:dyDescent="0.35">
      <c r="A73" s="3">
        <v>72</v>
      </c>
      <c r="B73" s="3">
        <v>-1</v>
      </c>
      <c r="C73" s="3" t="s">
        <v>114</v>
      </c>
      <c r="D73" s="3" t="s">
        <v>27</v>
      </c>
      <c r="E73" s="3" t="s">
        <v>28</v>
      </c>
      <c r="F73" s="3" t="s">
        <v>34</v>
      </c>
      <c r="G73" s="3" t="s">
        <v>42</v>
      </c>
      <c r="H73" s="3" t="s">
        <v>31</v>
      </c>
      <c r="I73" s="3" t="s">
        <v>32</v>
      </c>
      <c r="J73" s="3">
        <v>115.6</v>
      </c>
      <c r="K73" s="3">
        <v>202.6</v>
      </c>
      <c r="L73" s="3">
        <v>71.7</v>
      </c>
      <c r="M73" s="3">
        <v>56.5</v>
      </c>
      <c r="N73" s="3">
        <v>3740</v>
      </c>
      <c r="O73" s="3" t="s">
        <v>39</v>
      </c>
      <c r="P73" s="3" t="s">
        <v>115</v>
      </c>
      <c r="Q73" s="3">
        <v>234</v>
      </c>
      <c r="R73" s="3" t="s">
        <v>35</v>
      </c>
      <c r="S73" s="3">
        <v>3.46</v>
      </c>
      <c r="T73" s="3">
        <v>3.1</v>
      </c>
      <c r="U73" s="3">
        <v>8.3000000000000007</v>
      </c>
      <c r="V73" s="3">
        <v>155</v>
      </c>
      <c r="W73" s="3">
        <v>4750</v>
      </c>
      <c r="X73" s="3">
        <v>16</v>
      </c>
      <c r="Y73" s="3">
        <v>18</v>
      </c>
      <c r="Z73" s="3">
        <v>34184</v>
      </c>
      <c r="AA73">
        <f t="shared" si="1"/>
        <v>30765.600000000002</v>
      </c>
    </row>
    <row r="74" spans="1:27" ht="14.25" hidden="1" customHeight="1" x14ac:dyDescent="0.35">
      <c r="A74" s="3">
        <v>73</v>
      </c>
      <c r="B74" s="3">
        <v>3</v>
      </c>
      <c r="C74" s="3" t="s">
        <v>116</v>
      </c>
      <c r="D74" s="3" t="s">
        <v>27</v>
      </c>
      <c r="E74" s="3" t="s">
        <v>28</v>
      </c>
      <c r="F74" s="3" t="s">
        <v>29</v>
      </c>
      <c r="G74" s="3" t="s">
        <v>30</v>
      </c>
      <c r="H74" s="3" t="s">
        <v>31</v>
      </c>
      <c r="I74" s="3" t="s">
        <v>32</v>
      </c>
      <c r="J74" s="3">
        <v>96.6</v>
      </c>
      <c r="K74" s="3">
        <v>180.3</v>
      </c>
      <c r="L74" s="3">
        <v>70.5</v>
      </c>
      <c r="M74" s="3">
        <v>50.8</v>
      </c>
      <c r="N74" s="3">
        <v>3685</v>
      </c>
      <c r="O74" s="3" t="s">
        <v>39</v>
      </c>
      <c r="P74" s="3" t="s">
        <v>115</v>
      </c>
      <c r="Q74" s="3">
        <v>234</v>
      </c>
      <c r="R74" s="3" t="s">
        <v>35</v>
      </c>
      <c r="S74" s="3">
        <v>3.46</v>
      </c>
      <c r="T74" s="3">
        <v>3.1</v>
      </c>
      <c r="U74" s="3">
        <v>8.3000000000000007</v>
      </c>
      <c r="V74" s="3">
        <v>155</v>
      </c>
      <c r="W74" s="3">
        <v>4750</v>
      </c>
      <c r="X74" s="3">
        <v>16</v>
      </c>
      <c r="Y74" s="3">
        <v>18</v>
      </c>
      <c r="Z74" s="3">
        <v>35056</v>
      </c>
      <c r="AA74">
        <f t="shared" si="1"/>
        <v>31550.400000000001</v>
      </c>
    </row>
    <row r="75" spans="1:27" ht="14.25" hidden="1" customHeight="1" x14ac:dyDescent="0.35">
      <c r="A75" s="3">
        <v>74</v>
      </c>
      <c r="B75" s="3">
        <v>0</v>
      </c>
      <c r="C75" s="3" t="s">
        <v>117</v>
      </c>
      <c r="D75" s="3" t="s">
        <v>27</v>
      </c>
      <c r="E75" s="3" t="s">
        <v>28</v>
      </c>
      <c r="F75" s="3" t="s">
        <v>34</v>
      </c>
      <c r="G75" s="3" t="s">
        <v>42</v>
      </c>
      <c r="H75" s="3" t="s">
        <v>31</v>
      </c>
      <c r="I75" s="3" t="s">
        <v>32</v>
      </c>
      <c r="J75" s="3">
        <v>120.9</v>
      </c>
      <c r="K75" s="3">
        <v>208.1</v>
      </c>
      <c r="L75" s="3">
        <v>71.7</v>
      </c>
      <c r="M75" s="3">
        <v>56.7</v>
      </c>
      <c r="N75" s="3">
        <v>3900</v>
      </c>
      <c r="O75" s="3" t="s">
        <v>39</v>
      </c>
      <c r="P75" s="3" t="s">
        <v>115</v>
      </c>
      <c r="Q75" s="3">
        <v>308</v>
      </c>
      <c r="R75" s="3" t="s">
        <v>35</v>
      </c>
      <c r="S75" s="3">
        <v>3.8</v>
      </c>
      <c r="T75" s="3">
        <v>3.35</v>
      </c>
      <c r="U75" s="3">
        <v>8</v>
      </c>
      <c r="V75" s="3">
        <v>184</v>
      </c>
      <c r="W75" s="3">
        <v>4500</v>
      </c>
      <c r="X75" s="3">
        <v>14</v>
      </c>
      <c r="Y75" s="3">
        <v>16</v>
      </c>
      <c r="Z75" s="3">
        <v>40960</v>
      </c>
      <c r="AA75">
        <f t="shared" si="1"/>
        <v>36864</v>
      </c>
    </row>
    <row r="76" spans="1:27" ht="14.25" hidden="1" customHeight="1" x14ac:dyDescent="0.35">
      <c r="A76" s="3">
        <v>75</v>
      </c>
      <c r="B76" s="3">
        <v>1</v>
      </c>
      <c r="C76" s="3" t="s">
        <v>118</v>
      </c>
      <c r="D76" s="3" t="s">
        <v>27</v>
      </c>
      <c r="E76" s="3" t="s">
        <v>28</v>
      </c>
      <c r="F76" s="3" t="s">
        <v>29</v>
      </c>
      <c r="G76" s="3" t="s">
        <v>112</v>
      </c>
      <c r="H76" s="3" t="s">
        <v>31</v>
      </c>
      <c r="I76" s="3" t="s">
        <v>32</v>
      </c>
      <c r="J76" s="3">
        <v>112</v>
      </c>
      <c r="K76" s="3">
        <v>199.2</v>
      </c>
      <c r="L76" s="3">
        <v>72</v>
      </c>
      <c r="M76" s="3">
        <v>55.4</v>
      </c>
      <c r="N76" s="3">
        <v>3715</v>
      </c>
      <c r="O76" s="3" t="s">
        <v>39</v>
      </c>
      <c r="P76" s="3" t="s">
        <v>115</v>
      </c>
      <c r="Q76" s="3">
        <v>304</v>
      </c>
      <c r="R76" s="3" t="s">
        <v>35</v>
      </c>
      <c r="S76" s="3">
        <v>3.8</v>
      </c>
      <c r="T76" s="3">
        <v>3.35</v>
      </c>
      <c r="U76" s="3">
        <v>8</v>
      </c>
      <c r="V76" s="3">
        <v>184</v>
      </c>
      <c r="W76" s="3">
        <v>4500</v>
      </c>
      <c r="X76" s="3">
        <v>14</v>
      </c>
      <c r="Y76" s="3">
        <v>16</v>
      </c>
      <c r="Z76" s="3">
        <v>45400</v>
      </c>
      <c r="AA76">
        <f t="shared" si="1"/>
        <v>40860</v>
      </c>
    </row>
    <row r="77" spans="1:27" ht="14.25" hidden="1" customHeight="1" x14ac:dyDescent="0.35">
      <c r="A77" s="3">
        <v>76</v>
      </c>
      <c r="B77" s="3">
        <v>1</v>
      </c>
      <c r="C77" s="3" t="s">
        <v>119</v>
      </c>
      <c r="D77" s="3" t="s">
        <v>27</v>
      </c>
      <c r="E77" s="3" t="s">
        <v>52</v>
      </c>
      <c r="F77" s="3" t="s">
        <v>29</v>
      </c>
      <c r="G77" s="3" t="s">
        <v>38</v>
      </c>
      <c r="H77" s="3" t="s">
        <v>31</v>
      </c>
      <c r="I77" s="3" t="s">
        <v>32</v>
      </c>
      <c r="J77" s="3">
        <v>102.7</v>
      </c>
      <c r="K77" s="3">
        <v>178.4</v>
      </c>
      <c r="L77" s="3">
        <v>68</v>
      </c>
      <c r="M77" s="3">
        <v>54.8</v>
      </c>
      <c r="N77" s="3">
        <v>2910</v>
      </c>
      <c r="O77" s="3" t="s">
        <v>44</v>
      </c>
      <c r="P77" s="3" t="s">
        <v>34</v>
      </c>
      <c r="Q77" s="3">
        <v>140</v>
      </c>
      <c r="R77" s="3" t="s">
        <v>35</v>
      </c>
      <c r="S77" s="3">
        <v>3.78</v>
      </c>
      <c r="T77" s="3">
        <v>3.12</v>
      </c>
      <c r="U77" s="3">
        <v>8</v>
      </c>
      <c r="V77" s="3">
        <v>175</v>
      </c>
      <c r="W77" s="3">
        <v>5000</v>
      </c>
      <c r="X77" s="3">
        <v>19</v>
      </c>
      <c r="Y77" s="3">
        <v>24</v>
      </c>
      <c r="Z77" s="3">
        <v>16503</v>
      </c>
      <c r="AA77">
        <f t="shared" si="1"/>
        <v>14852.7</v>
      </c>
    </row>
    <row r="78" spans="1:27" ht="14.25" hidden="1" customHeight="1" x14ac:dyDescent="0.35">
      <c r="A78" s="3">
        <v>77</v>
      </c>
      <c r="B78" s="3">
        <v>2</v>
      </c>
      <c r="C78" s="3" t="s">
        <v>120</v>
      </c>
      <c r="D78" s="3" t="s">
        <v>27</v>
      </c>
      <c r="E78" s="3" t="s">
        <v>28</v>
      </c>
      <c r="F78" s="3" t="s">
        <v>29</v>
      </c>
      <c r="G78" s="3" t="s">
        <v>38</v>
      </c>
      <c r="H78" s="3" t="s">
        <v>43</v>
      </c>
      <c r="I78" s="3" t="s">
        <v>32</v>
      </c>
      <c r="J78" s="3">
        <v>93.7</v>
      </c>
      <c r="K78" s="3">
        <v>157.30000000000001</v>
      </c>
      <c r="L78" s="3">
        <v>64.400000000000006</v>
      </c>
      <c r="M78" s="3">
        <v>50.8</v>
      </c>
      <c r="N78" s="3">
        <v>1918</v>
      </c>
      <c r="O78" s="3" t="s">
        <v>44</v>
      </c>
      <c r="P78" s="3" t="s">
        <v>34</v>
      </c>
      <c r="Q78" s="3">
        <v>92</v>
      </c>
      <c r="R78" s="3" t="s">
        <v>63</v>
      </c>
      <c r="S78" s="3">
        <v>2.97</v>
      </c>
      <c r="T78" s="3">
        <v>3.23</v>
      </c>
      <c r="U78" s="3">
        <v>9.4</v>
      </c>
      <c r="V78" s="3">
        <v>68</v>
      </c>
      <c r="W78" s="3">
        <v>5500</v>
      </c>
      <c r="X78" s="3">
        <v>37</v>
      </c>
      <c r="Y78" s="3">
        <v>41</v>
      </c>
      <c r="Z78" s="3">
        <v>5389</v>
      </c>
      <c r="AA78">
        <f t="shared" si="1"/>
        <v>4850.1000000000004</v>
      </c>
    </row>
    <row r="79" spans="1:27" ht="14.25" hidden="1" customHeight="1" x14ac:dyDescent="0.35">
      <c r="A79" s="3">
        <v>78</v>
      </c>
      <c r="B79" s="3">
        <v>2</v>
      </c>
      <c r="C79" s="3" t="s">
        <v>121</v>
      </c>
      <c r="D79" s="3" t="s">
        <v>27</v>
      </c>
      <c r="E79" s="3" t="s">
        <v>28</v>
      </c>
      <c r="F79" s="3" t="s">
        <v>29</v>
      </c>
      <c r="G79" s="3" t="s">
        <v>38</v>
      </c>
      <c r="H79" s="3" t="s">
        <v>43</v>
      </c>
      <c r="I79" s="3" t="s">
        <v>32</v>
      </c>
      <c r="J79" s="3">
        <v>93.7</v>
      </c>
      <c r="K79" s="3">
        <v>157.30000000000001</v>
      </c>
      <c r="L79" s="3">
        <v>64.400000000000006</v>
      </c>
      <c r="M79" s="3">
        <v>50.8</v>
      </c>
      <c r="N79" s="3">
        <v>1944</v>
      </c>
      <c r="O79" s="3" t="s">
        <v>44</v>
      </c>
      <c r="P79" s="3" t="s">
        <v>34</v>
      </c>
      <c r="Q79" s="3">
        <v>92</v>
      </c>
      <c r="R79" s="3" t="s">
        <v>63</v>
      </c>
      <c r="S79" s="3">
        <v>2.97</v>
      </c>
      <c r="T79" s="3">
        <v>3.23</v>
      </c>
      <c r="U79" s="3">
        <v>9.4</v>
      </c>
      <c r="V79" s="3">
        <v>68</v>
      </c>
      <c r="W79" s="3">
        <v>5500</v>
      </c>
      <c r="X79" s="3">
        <v>31</v>
      </c>
      <c r="Y79" s="3">
        <v>38</v>
      </c>
      <c r="Z79" s="3">
        <v>6189</v>
      </c>
      <c r="AA79">
        <f t="shared" si="1"/>
        <v>5570.1</v>
      </c>
    </row>
    <row r="80" spans="1:27" ht="14.25" hidden="1" customHeight="1" x14ac:dyDescent="0.35">
      <c r="A80" s="3">
        <v>79</v>
      </c>
      <c r="B80" s="3">
        <v>2</v>
      </c>
      <c r="C80" s="3" t="s">
        <v>122</v>
      </c>
      <c r="D80" s="3" t="s">
        <v>27</v>
      </c>
      <c r="E80" s="3" t="s">
        <v>28</v>
      </c>
      <c r="F80" s="3" t="s">
        <v>29</v>
      </c>
      <c r="G80" s="3" t="s">
        <v>38</v>
      </c>
      <c r="H80" s="3" t="s">
        <v>43</v>
      </c>
      <c r="I80" s="3" t="s">
        <v>32</v>
      </c>
      <c r="J80" s="3">
        <v>93.7</v>
      </c>
      <c r="K80" s="3">
        <v>157.30000000000001</v>
      </c>
      <c r="L80" s="3">
        <v>64.400000000000006</v>
      </c>
      <c r="M80" s="3">
        <v>50.8</v>
      </c>
      <c r="N80" s="3">
        <v>2004</v>
      </c>
      <c r="O80" s="3" t="s">
        <v>44</v>
      </c>
      <c r="P80" s="3" t="s">
        <v>34</v>
      </c>
      <c r="Q80" s="3">
        <v>92</v>
      </c>
      <c r="R80" s="3" t="s">
        <v>63</v>
      </c>
      <c r="S80" s="3">
        <v>2.97</v>
      </c>
      <c r="T80" s="3">
        <v>3.23</v>
      </c>
      <c r="U80" s="3">
        <v>9.4</v>
      </c>
      <c r="V80" s="3">
        <v>68</v>
      </c>
      <c r="W80" s="3">
        <v>5500</v>
      </c>
      <c r="X80" s="3">
        <v>31</v>
      </c>
      <c r="Y80" s="3">
        <v>38</v>
      </c>
      <c r="Z80" s="3">
        <v>6669</v>
      </c>
      <c r="AA80">
        <f t="shared" si="1"/>
        <v>6002.1</v>
      </c>
    </row>
    <row r="81" spans="1:27" ht="14.25" hidden="1" customHeight="1" x14ac:dyDescent="0.35">
      <c r="A81" s="3">
        <v>80</v>
      </c>
      <c r="B81" s="3">
        <v>1</v>
      </c>
      <c r="C81" s="3" t="s">
        <v>123</v>
      </c>
      <c r="D81" s="3" t="s">
        <v>27</v>
      </c>
      <c r="E81" s="3" t="s">
        <v>52</v>
      </c>
      <c r="F81" s="3" t="s">
        <v>29</v>
      </c>
      <c r="G81" s="3" t="s">
        <v>38</v>
      </c>
      <c r="H81" s="3" t="s">
        <v>43</v>
      </c>
      <c r="I81" s="3" t="s">
        <v>32</v>
      </c>
      <c r="J81" s="3">
        <v>93</v>
      </c>
      <c r="K81" s="3">
        <v>157.30000000000001</v>
      </c>
      <c r="L81" s="3">
        <v>63.8</v>
      </c>
      <c r="M81" s="3">
        <v>50.8</v>
      </c>
      <c r="N81" s="3">
        <v>2145</v>
      </c>
      <c r="O81" s="3" t="s">
        <v>44</v>
      </c>
      <c r="P81" s="3" t="s">
        <v>34</v>
      </c>
      <c r="Q81" s="3">
        <v>98</v>
      </c>
      <c r="R81" s="3" t="s">
        <v>124</v>
      </c>
      <c r="S81" s="3">
        <v>3.03</v>
      </c>
      <c r="T81" s="3">
        <v>3.39</v>
      </c>
      <c r="U81" s="3">
        <v>7.6</v>
      </c>
      <c r="V81" s="3">
        <v>102</v>
      </c>
      <c r="W81" s="3">
        <v>5500</v>
      </c>
      <c r="X81" s="3">
        <v>24</v>
      </c>
      <c r="Y81" s="3">
        <v>30</v>
      </c>
      <c r="Z81" s="3">
        <v>7689</v>
      </c>
      <c r="AA81">
        <f t="shared" si="1"/>
        <v>6920.1</v>
      </c>
    </row>
    <row r="82" spans="1:27" ht="14.25" hidden="1" customHeight="1" x14ac:dyDescent="0.35">
      <c r="A82" s="3">
        <v>81</v>
      </c>
      <c r="B82" s="3">
        <v>3</v>
      </c>
      <c r="C82" s="3" t="s">
        <v>125</v>
      </c>
      <c r="D82" s="3" t="s">
        <v>27</v>
      </c>
      <c r="E82" s="3" t="s">
        <v>52</v>
      </c>
      <c r="F82" s="3" t="s">
        <v>29</v>
      </c>
      <c r="G82" s="3" t="s">
        <v>38</v>
      </c>
      <c r="H82" s="3" t="s">
        <v>43</v>
      </c>
      <c r="I82" s="3" t="s">
        <v>32</v>
      </c>
      <c r="J82" s="3">
        <v>96.3</v>
      </c>
      <c r="K82" s="3">
        <v>173</v>
      </c>
      <c r="L82" s="3">
        <v>65.400000000000006</v>
      </c>
      <c r="M82" s="3">
        <v>49.4</v>
      </c>
      <c r="N82" s="3">
        <v>2370</v>
      </c>
      <c r="O82" s="3" t="s">
        <v>44</v>
      </c>
      <c r="P82" s="3" t="s">
        <v>34</v>
      </c>
      <c r="Q82" s="3">
        <v>110</v>
      </c>
      <c r="R82" s="3" t="s">
        <v>124</v>
      </c>
      <c r="S82" s="3">
        <v>3.17</v>
      </c>
      <c r="T82" s="3">
        <v>3.46</v>
      </c>
      <c r="U82" s="3">
        <v>7.5</v>
      </c>
      <c r="V82" s="3">
        <v>116</v>
      </c>
      <c r="W82" s="3">
        <v>5500</v>
      </c>
      <c r="X82" s="3">
        <v>23</v>
      </c>
      <c r="Y82" s="3">
        <v>30</v>
      </c>
      <c r="Z82" s="3">
        <v>9959</v>
      </c>
      <c r="AA82">
        <f t="shared" si="1"/>
        <v>8963.1</v>
      </c>
    </row>
    <row r="83" spans="1:27" ht="14.25" hidden="1" customHeight="1" x14ac:dyDescent="0.35">
      <c r="A83" s="3">
        <v>82</v>
      </c>
      <c r="B83" s="3">
        <v>3</v>
      </c>
      <c r="C83" s="3" t="s">
        <v>123</v>
      </c>
      <c r="D83" s="3" t="s">
        <v>27</v>
      </c>
      <c r="E83" s="3" t="s">
        <v>28</v>
      </c>
      <c r="F83" s="3" t="s">
        <v>29</v>
      </c>
      <c r="G83" s="3" t="s">
        <v>38</v>
      </c>
      <c r="H83" s="3" t="s">
        <v>43</v>
      </c>
      <c r="I83" s="3" t="s">
        <v>32</v>
      </c>
      <c r="J83" s="3">
        <v>96.3</v>
      </c>
      <c r="K83" s="3">
        <v>173</v>
      </c>
      <c r="L83" s="3">
        <v>65.400000000000006</v>
      </c>
      <c r="M83" s="3">
        <v>49.4</v>
      </c>
      <c r="N83" s="3">
        <v>2328</v>
      </c>
      <c r="O83" s="3" t="s">
        <v>44</v>
      </c>
      <c r="P83" s="3" t="s">
        <v>34</v>
      </c>
      <c r="Q83" s="3">
        <v>122</v>
      </c>
      <c r="R83" s="3" t="s">
        <v>63</v>
      </c>
      <c r="S83" s="3">
        <v>3.35</v>
      </c>
      <c r="T83" s="3">
        <v>3.46</v>
      </c>
      <c r="U83" s="3">
        <v>8.5</v>
      </c>
      <c r="V83" s="3">
        <v>88</v>
      </c>
      <c r="W83" s="3">
        <v>5000</v>
      </c>
      <c r="X83" s="3">
        <v>25</v>
      </c>
      <c r="Y83" s="3">
        <v>32</v>
      </c>
      <c r="Z83" s="3">
        <v>8499</v>
      </c>
      <c r="AA83">
        <f t="shared" si="1"/>
        <v>7649.1</v>
      </c>
    </row>
    <row r="84" spans="1:27" ht="14.25" hidden="1" customHeight="1" x14ac:dyDescent="0.35">
      <c r="A84" s="3">
        <v>83</v>
      </c>
      <c r="B84" s="3">
        <v>3</v>
      </c>
      <c r="C84" s="3" t="s">
        <v>122</v>
      </c>
      <c r="D84" s="3" t="s">
        <v>27</v>
      </c>
      <c r="E84" s="3" t="s">
        <v>52</v>
      </c>
      <c r="F84" s="3" t="s">
        <v>29</v>
      </c>
      <c r="G84" s="3" t="s">
        <v>38</v>
      </c>
      <c r="H84" s="3" t="s">
        <v>43</v>
      </c>
      <c r="I84" s="3" t="s">
        <v>32</v>
      </c>
      <c r="J84" s="3">
        <v>95.9</v>
      </c>
      <c r="K84" s="3">
        <v>173.2</v>
      </c>
      <c r="L84" s="3">
        <v>66.3</v>
      </c>
      <c r="M84" s="3">
        <v>50.2</v>
      </c>
      <c r="N84" s="3">
        <v>2833</v>
      </c>
      <c r="O84" s="3" t="s">
        <v>44</v>
      </c>
      <c r="P84" s="3" t="s">
        <v>34</v>
      </c>
      <c r="Q84" s="3">
        <v>156</v>
      </c>
      <c r="R84" s="3" t="s">
        <v>124</v>
      </c>
      <c r="S84" s="3">
        <v>3.58</v>
      </c>
      <c r="T84" s="3">
        <v>3.86</v>
      </c>
      <c r="U84" s="3">
        <v>7</v>
      </c>
      <c r="V84" s="3">
        <v>145</v>
      </c>
      <c r="W84" s="3">
        <v>5000</v>
      </c>
      <c r="X84" s="3">
        <v>19</v>
      </c>
      <c r="Y84" s="3">
        <v>24</v>
      </c>
      <c r="Z84" s="3">
        <v>12629</v>
      </c>
      <c r="AA84">
        <f t="shared" si="1"/>
        <v>11366.1</v>
      </c>
    </row>
    <row r="85" spans="1:27" ht="14.25" hidden="1" customHeight="1" x14ac:dyDescent="0.35">
      <c r="A85" s="3">
        <v>84</v>
      </c>
      <c r="B85" s="3">
        <v>3</v>
      </c>
      <c r="C85" s="3" t="s">
        <v>123</v>
      </c>
      <c r="D85" s="3" t="s">
        <v>27</v>
      </c>
      <c r="E85" s="3" t="s">
        <v>52</v>
      </c>
      <c r="F85" s="3" t="s">
        <v>29</v>
      </c>
      <c r="G85" s="3" t="s">
        <v>38</v>
      </c>
      <c r="H85" s="3" t="s">
        <v>43</v>
      </c>
      <c r="I85" s="3" t="s">
        <v>32</v>
      </c>
      <c r="J85" s="3">
        <v>95.9</v>
      </c>
      <c r="K85" s="3">
        <v>173.2</v>
      </c>
      <c r="L85" s="3">
        <v>66.3</v>
      </c>
      <c r="M85" s="3">
        <v>50.2</v>
      </c>
      <c r="N85" s="3">
        <v>2921</v>
      </c>
      <c r="O85" s="3" t="s">
        <v>44</v>
      </c>
      <c r="P85" s="3" t="s">
        <v>34</v>
      </c>
      <c r="Q85" s="3">
        <v>156</v>
      </c>
      <c r="R85" s="3" t="s">
        <v>124</v>
      </c>
      <c r="S85" s="3">
        <v>3.59</v>
      </c>
      <c r="T85" s="3">
        <v>3.86</v>
      </c>
      <c r="U85" s="3">
        <v>7</v>
      </c>
      <c r="V85" s="3">
        <v>145</v>
      </c>
      <c r="W85" s="3">
        <v>5000</v>
      </c>
      <c r="X85" s="3">
        <v>19</v>
      </c>
      <c r="Y85" s="3">
        <v>24</v>
      </c>
      <c r="Z85" s="3">
        <v>14869</v>
      </c>
      <c r="AA85">
        <f t="shared" si="1"/>
        <v>13382.1</v>
      </c>
    </row>
    <row r="86" spans="1:27" ht="14.25" hidden="1" customHeight="1" x14ac:dyDescent="0.35">
      <c r="A86" s="3">
        <v>85</v>
      </c>
      <c r="B86" s="3">
        <v>3</v>
      </c>
      <c r="C86" s="3" t="s">
        <v>125</v>
      </c>
      <c r="D86" s="3" t="s">
        <v>27</v>
      </c>
      <c r="E86" s="3" t="s">
        <v>52</v>
      </c>
      <c r="F86" s="3" t="s">
        <v>29</v>
      </c>
      <c r="G86" s="3" t="s">
        <v>38</v>
      </c>
      <c r="H86" s="3" t="s">
        <v>43</v>
      </c>
      <c r="I86" s="3" t="s">
        <v>32</v>
      </c>
      <c r="J86" s="3">
        <v>95.9</v>
      </c>
      <c r="K86" s="3">
        <v>173.2</v>
      </c>
      <c r="L86" s="3">
        <v>66.3</v>
      </c>
      <c r="M86" s="3">
        <v>50.2</v>
      </c>
      <c r="N86" s="3">
        <v>2926</v>
      </c>
      <c r="O86" s="3" t="s">
        <v>44</v>
      </c>
      <c r="P86" s="3" t="s">
        <v>34</v>
      </c>
      <c r="Q86" s="3">
        <v>156</v>
      </c>
      <c r="R86" s="3" t="s">
        <v>124</v>
      </c>
      <c r="S86" s="3">
        <v>3.59</v>
      </c>
      <c r="T86" s="3">
        <v>3.86</v>
      </c>
      <c r="U86" s="3">
        <v>7</v>
      </c>
      <c r="V86" s="3">
        <v>145</v>
      </c>
      <c r="W86" s="3">
        <v>5000</v>
      </c>
      <c r="X86" s="3">
        <v>19</v>
      </c>
      <c r="Y86" s="3">
        <v>24</v>
      </c>
      <c r="Z86" s="3">
        <v>14489</v>
      </c>
      <c r="AA86">
        <f t="shared" si="1"/>
        <v>13040.1</v>
      </c>
    </row>
    <row r="87" spans="1:27" ht="14.25" hidden="1" customHeight="1" x14ac:dyDescent="0.35">
      <c r="A87" s="3">
        <v>86</v>
      </c>
      <c r="B87" s="3">
        <v>1</v>
      </c>
      <c r="C87" s="3" t="s">
        <v>126</v>
      </c>
      <c r="D87" s="3" t="s">
        <v>27</v>
      </c>
      <c r="E87" s="3" t="s">
        <v>28</v>
      </c>
      <c r="F87" s="3" t="s">
        <v>34</v>
      </c>
      <c r="G87" s="3" t="s">
        <v>42</v>
      </c>
      <c r="H87" s="3" t="s">
        <v>43</v>
      </c>
      <c r="I87" s="3" t="s">
        <v>32</v>
      </c>
      <c r="J87" s="3">
        <v>96.3</v>
      </c>
      <c r="K87" s="3">
        <v>172.4</v>
      </c>
      <c r="L87" s="3">
        <v>65.400000000000006</v>
      </c>
      <c r="M87" s="3">
        <v>51.6</v>
      </c>
      <c r="N87" s="3">
        <v>2365</v>
      </c>
      <c r="O87" s="3" t="s">
        <v>44</v>
      </c>
      <c r="P87" s="3" t="s">
        <v>34</v>
      </c>
      <c r="Q87" s="3">
        <v>122</v>
      </c>
      <c r="R87" s="3" t="s">
        <v>63</v>
      </c>
      <c r="S87" s="3">
        <v>3.35</v>
      </c>
      <c r="T87" s="3">
        <v>3.46</v>
      </c>
      <c r="U87" s="3">
        <v>8.5</v>
      </c>
      <c r="V87" s="3">
        <v>88</v>
      </c>
      <c r="W87" s="3">
        <v>5000</v>
      </c>
      <c r="X87" s="3">
        <v>25</v>
      </c>
      <c r="Y87" s="3">
        <v>32</v>
      </c>
      <c r="Z87" s="3">
        <v>6989</v>
      </c>
      <c r="AA87">
        <f t="shared" si="1"/>
        <v>6290.1</v>
      </c>
    </row>
    <row r="88" spans="1:27" ht="14.25" hidden="1" customHeight="1" x14ac:dyDescent="0.35">
      <c r="A88" s="3">
        <v>87</v>
      </c>
      <c r="B88" s="3">
        <v>1</v>
      </c>
      <c r="C88" s="3" t="s">
        <v>127</v>
      </c>
      <c r="D88" s="3" t="s">
        <v>27</v>
      </c>
      <c r="E88" s="3" t="s">
        <v>28</v>
      </c>
      <c r="F88" s="3" t="s">
        <v>34</v>
      </c>
      <c r="G88" s="3" t="s">
        <v>42</v>
      </c>
      <c r="H88" s="3" t="s">
        <v>43</v>
      </c>
      <c r="I88" s="3" t="s">
        <v>32</v>
      </c>
      <c r="J88" s="3">
        <v>96.3</v>
      </c>
      <c r="K88" s="3">
        <v>172.4</v>
      </c>
      <c r="L88" s="3">
        <v>65.400000000000006</v>
      </c>
      <c r="M88" s="3">
        <v>51.6</v>
      </c>
      <c r="N88" s="3">
        <v>2405</v>
      </c>
      <c r="O88" s="3" t="s">
        <v>44</v>
      </c>
      <c r="P88" s="3" t="s">
        <v>34</v>
      </c>
      <c r="Q88" s="3">
        <v>122</v>
      </c>
      <c r="R88" s="3" t="s">
        <v>63</v>
      </c>
      <c r="S88" s="3">
        <v>3.35</v>
      </c>
      <c r="T88" s="3">
        <v>3.46</v>
      </c>
      <c r="U88" s="3">
        <v>8.5</v>
      </c>
      <c r="V88" s="3">
        <v>88</v>
      </c>
      <c r="W88" s="3">
        <v>5000</v>
      </c>
      <c r="X88" s="3">
        <v>25</v>
      </c>
      <c r="Y88" s="3">
        <v>32</v>
      </c>
      <c r="Z88" s="3">
        <v>8189</v>
      </c>
      <c r="AA88">
        <f t="shared" si="1"/>
        <v>7370.1</v>
      </c>
    </row>
    <row r="89" spans="1:27" ht="14.25" hidden="1" customHeight="1" x14ac:dyDescent="0.35">
      <c r="A89" s="3">
        <v>88</v>
      </c>
      <c r="B89" s="3">
        <v>1</v>
      </c>
      <c r="C89" s="3" t="s">
        <v>122</v>
      </c>
      <c r="D89" s="3" t="s">
        <v>27</v>
      </c>
      <c r="E89" s="3" t="s">
        <v>52</v>
      </c>
      <c r="F89" s="3" t="s">
        <v>34</v>
      </c>
      <c r="G89" s="3" t="s">
        <v>42</v>
      </c>
      <c r="H89" s="3" t="s">
        <v>43</v>
      </c>
      <c r="I89" s="3" t="s">
        <v>32</v>
      </c>
      <c r="J89" s="3">
        <v>96.3</v>
      </c>
      <c r="K89" s="3">
        <v>172.4</v>
      </c>
      <c r="L89" s="3">
        <v>65.400000000000006</v>
      </c>
      <c r="M89" s="3">
        <v>51.6</v>
      </c>
      <c r="N89" s="3">
        <v>2403</v>
      </c>
      <c r="O89" s="3" t="s">
        <v>44</v>
      </c>
      <c r="P89" s="3" t="s">
        <v>34</v>
      </c>
      <c r="Q89" s="3">
        <v>110</v>
      </c>
      <c r="R89" s="3" t="s">
        <v>124</v>
      </c>
      <c r="S89" s="3">
        <v>3.17</v>
      </c>
      <c r="T89" s="3">
        <v>3.46</v>
      </c>
      <c r="U89" s="3">
        <v>7.5</v>
      </c>
      <c r="V89" s="3">
        <v>116</v>
      </c>
      <c r="W89" s="3">
        <v>5500</v>
      </c>
      <c r="X89" s="3">
        <v>23</v>
      </c>
      <c r="Y89" s="3">
        <v>30</v>
      </c>
      <c r="Z89" s="3">
        <v>9279</v>
      </c>
      <c r="AA89">
        <f t="shared" si="1"/>
        <v>8351.1</v>
      </c>
    </row>
    <row r="90" spans="1:27" ht="14.25" hidden="1" customHeight="1" x14ac:dyDescent="0.35">
      <c r="A90" s="3">
        <v>89</v>
      </c>
      <c r="B90" s="3">
        <v>-1</v>
      </c>
      <c r="C90" s="3" t="s">
        <v>125</v>
      </c>
      <c r="D90" s="3" t="s">
        <v>27</v>
      </c>
      <c r="E90" s="3" t="s">
        <v>28</v>
      </c>
      <c r="F90" s="3" t="s">
        <v>34</v>
      </c>
      <c r="G90" s="3" t="s">
        <v>42</v>
      </c>
      <c r="H90" s="3" t="s">
        <v>43</v>
      </c>
      <c r="I90" s="3" t="s">
        <v>32</v>
      </c>
      <c r="J90" s="3">
        <v>96.3</v>
      </c>
      <c r="K90" s="3">
        <v>172.4</v>
      </c>
      <c r="L90" s="3">
        <v>65.400000000000006</v>
      </c>
      <c r="M90" s="3">
        <v>51.6</v>
      </c>
      <c r="N90" s="3">
        <v>2403</v>
      </c>
      <c r="O90" s="3" t="s">
        <v>44</v>
      </c>
      <c r="P90" s="3" t="s">
        <v>34</v>
      </c>
      <c r="Q90" s="3">
        <v>110</v>
      </c>
      <c r="R90" s="3" t="s">
        <v>124</v>
      </c>
      <c r="S90" s="3">
        <v>3.17</v>
      </c>
      <c r="T90" s="3">
        <v>3.46</v>
      </c>
      <c r="U90" s="3">
        <v>7.5</v>
      </c>
      <c r="V90" s="3">
        <v>116</v>
      </c>
      <c r="W90" s="3">
        <v>5500</v>
      </c>
      <c r="X90" s="3">
        <v>23</v>
      </c>
      <c r="Y90" s="3">
        <v>30</v>
      </c>
      <c r="Z90" s="3">
        <v>9279</v>
      </c>
      <c r="AA90">
        <f t="shared" si="1"/>
        <v>8351.1</v>
      </c>
    </row>
    <row r="91" spans="1:27" ht="14.25" hidden="1" customHeight="1" x14ac:dyDescent="0.35">
      <c r="A91" s="3">
        <v>90</v>
      </c>
      <c r="B91" s="3">
        <v>1</v>
      </c>
      <c r="C91" s="3" t="s">
        <v>128</v>
      </c>
      <c r="D91" s="3" t="s">
        <v>27</v>
      </c>
      <c r="E91" s="3" t="s">
        <v>28</v>
      </c>
      <c r="F91" s="3" t="s">
        <v>29</v>
      </c>
      <c r="G91" s="3" t="s">
        <v>42</v>
      </c>
      <c r="H91" s="3" t="s">
        <v>43</v>
      </c>
      <c r="I91" s="3" t="s">
        <v>32</v>
      </c>
      <c r="J91" s="3">
        <v>94.5</v>
      </c>
      <c r="K91" s="3">
        <v>165.3</v>
      </c>
      <c r="L91" s="3">
        <v>63.8</v>
      </c>
      <c r="M91" s="3">
        <v>54.5</v>
      </c>
      <c r="N91" s="3">
        <v>1889</v>
      </c>
      <c r="O91" s="3" t="s">
        <v>44</v>
      </c>
      <c r="P91" s="3" t="s">
        <v>34</v>
      </c>
      <c r="Q91" s="3">
        <v>97</v>
      </c>
      <c r="R91" s="3" t="s">
        <v>63</v>
      </c>
      <c r="S91" s="3">
        <v>3.15</v>
      </c>
      <c r="T91" s="3">
        <v>3.29</v>
      </c>
      <c r="U91" s="3">
        <v>9.4</v>
      </c>
      <c r="V91" s="3">
        <v>69</v>
      </c>
      <c r="W91" s="3">
        <v>5200</v>
      </c>
      <c r="X91" s="3">
        <v>31</v>
      </c>
      <c r="Y91" s="3">
        <v>37</v>
      </c>
      <c r="Z91" s="3">
        <v>5499</v>
      </c>
      <c r="AA91">
        <f t="shared" si="1"/>
        <v>4949.1000000000004</v>
      </c>
    </row>
    <row r="92" spans="1:27" ht="14.25" customHeight="1" x14ac:dyDescent="0.35">
      <c r="A92" s="3">
        <v>91</v>
      </c>
      <c r="B92" s="3">
        <v>1</v>
      </c>
      <c r="C92" s="3" t="s">
        <v>129</v>
      </c>
      <c r="D92" s="3" t="s">
        <v>107</v>
      </c>
      <c r="E92" s="3" t="s">
        <v>28</v>
      </c>
      <c r="F92" s="3" t="s">
        <v>29</v>
      </c>
      <c r="G92" s="3" t="s">
        <v>42</v>
      </c>
      <c r="H92" s="3" t="s">
        <v>43</v>
      </c>
      <c r="I92" s="3" t="s">
        <v>32</v>
      </c>
      <c r="J92" s="3">
        <v>94.5</v>
      </c>
      <c r="K92" s="3">
        <v>165.3</v>
      </c>
      <c r="L92" s="3">
        <v>63.8</v>
      </c>
      <c r="M92" s="3">
        <v>54.5</v>
      </c>
      <c r="N92" s="3">
        <v>2017</v>
      </c>
      <c r="O92" s="3" t="s">
        <v>44</v>
      </c>
      <c r="P92" s="3" t="s">
        <v>34</v>
      </c>
      <c r="Q92" s="3">
        <v>103</v>
      </c>
      <c r="R92" s="3" t="s">
        <v>108</v>
      </c>
      <c r="S92" s="3">
        <v>2.99</v>
      </c>
      <c r="T92" s="3">
        <v>3.47</v>
      </c>
      <c r="U92" s="3">
        <v>21.9</v>
      </c>
      <c r="V92" s="3">
        <v>55</v>
      </c>
      <c r="W92" s="3">
        <v>4800</v>
      </c>
      <c r="X92" s="3">
        <v>45</v>
      </c>
      <c r="Y92" s="3">
        <v>50</v>
      </c>
      <c r="Z92" s="3">
        <v>7099</v>
      </c>
      <c r="AA92">
        <f t="shared" si="1"/>
        <v>6389.1</v>
      </c>
    </row>
    <row r="93" spans="1:27" ht="14.25" hidden="1" customHeight="1" x14ac:dyDescent="0.35">
      <c r="A93" s="3">
        <v>92</v>
      </c>
      <c r="B93" s="3">
        <v>1</v>
      </c>
      <c r="C93" s="3" t="s">
        <v>130</v>
      </c>
      <c r="D93" s="3" t="s">
        <v>27</v>
      </c>
      <c r="E93" s="3" t="s">
        <v>28</v>
      </c>
      <c r="F93" s="3" t="s">
        <v>29</v>
      </c>
      <c r="G93" s="3" t="s">
        <v>42</v>
      </c>
      <c r="H93" s="3" t="s">
        <v>43</v>
      </c>
      <c r="I93" s="3" t="s">
        <v>32</v>
      </c>
      <c r="J93" s="3">
        <v>94.5</v>
      </c>
      <c r="K93" s="3">
        <v>165.3</v>
      </c>
      <c r="L93" s="3">
        <v>63.8</v>
      </c>
      <c r="M93" s="3">
        <v>54.5</v>
      </c>
      <c r="N93" s="3">
        <v>1918</v>
      </c>
      <c r="O93" s="3" t="s">
        <v>44</v>
      </c>
      <c r="P93" s="3" t="s">
        <v>34</v>
      </c>
      <c r="Q93" s="3">
        <v>97</v>
      </c>
      <c r="R93" s="3" t="s">
        <v>63</v>
      </c>
      <c r="S93" s="3">
        <v>3.15</v>
      </c>
      <c r="T93" s="3">
        <v>3.29</v>
      </c>
      <c r="U93" s="3">
        <v>9.4</v>
      </c>
      <c r="V93" s="3">
        <v>69</v>
      </c>
      <c r="W93" s="3">
        <v>5200</v>
      </c>
      <c r="X93" s="3">
        <v>31</v>
      </c>
      <c r="Y93" s="3">
        <v>37</v>
      </c>
      <c r="Z93" s="3">
        <v>6649</v>
      </c>
      <c r="AA93">
        <f t="shared" si="1"/>
        <v>5984.1</v>
      </c>
    </row>
    <row r="94" spans="1:27" ht="14.25" hidden="1" customHeight="1" x14ac:dyDescent="0.35">
      <c r="A94" s="3">
        <v>93</v>
      </c>
      <c r="B94" s="3">
        <v>1</v>
      </c>
      <c r="C94" s="3" t="s">
        <v>131</v>
      </c>
      <c r="D94" s="3" t="s">
        <v>27</v>
      </c>
      <c r="E94" s="3" t="s">
        <v>28</v>
      </c>
      <c r="F94" s="3" t="s">
        <v>34</v>
      </c>
      <c r="G94" s="3" t="s">
        <v>42</v>
      </c>
      <c r="H94" s="3" t="s">
        <v>43</v>
      </c>
      <c r="I94" s="3" t="s">
        <v>32</v>
      </c>
      <c r="J94" s="3">
        <v>94.5</v>
      </c>
      <c r="K94" s="3">
        <v>165.3</v>
      </c>
      <c r="L94" s="3">
        <v>63.8</v>
      </c>
      <c r="M94" s="3">
        <v>54.5</v>
      </c>
      <c r="N94" s="3">
        <v>1938</v>
      </c>
      <c r="O94" s="3" t="s">
        <v>44</v>
      </c>
      <c r="P94" s="3" t="s">
        <v>34</v>
      </c>
      <c r="Q94" s="3">
        <v>97</v>
      </c>
      <c r="R94" s="3" t="s">
        <v>63</v>
      </c>
      <c r="S94" s="3">
        <v>3.15</v>
      </c>
      <c r="T94" s="3">
        <v>3.29</v>
      </c>
      <c r="U94" s="3">
        <v>9.4</v>
      </c>
      <c r="V94" s="3">
        <v>69</v>
      </c>
      <c r="W94" s="3">
        <v>5200</v>
      </c>
      <c r="X94" s="3">
        <v>31</v>
      </c>
      <c r="Y94" s="3">
        <v>37</v>
      </c>
      <c r="Z94" s="3">
        <v>6849</v>
      </c>
      <c r="AA94">
        <f t="shared" si="1"/>
        <v>6164.1</v>
      </c>
    </row>
    <row r="95" spans="1:27" ht="14.25" hidden="1" customHeight="1" x14ac:dyDescent="0.35">
      <c r="A95" s="3">
        <v>94</v>
      </c>
      <c r="B95" s="3">
        <v>1</v>
      </c>
      <c r="C95" s="3" t="s">
        <v>132</v>
      </c>
      <c r="D95" s="3" t="s">
        <v>27</v>
      </c>
      <c r="E95" s="3" t="s">
        <v>28</v>
      </c>
      <c r="F95" s="3" t="s">
        <v>34</v>
      </c>
      <c r="G95" s="3" t="s">
        <v>50</v>
      </c>
      <c r="H95" s="3" t="s">
        <v>43</v>
      </c>
      <c r="I95" s="3" t="s">
        <v>32</v>
      </c>
      <c r="J95" s="3">
        <v>94.5</v>
      </c>
      <c r="K95" s="3">
        <v>170.2</v>
      </c>
      <c r="L95" s="3">
        <v>63.8</v>
      </c>
      <c r="M95" s="3">
        <v>53.5</v>
      </c>
      <c r="N95" s="3">
        <v>2024</v>
      </c>
      <c r="O95" s="3" t="s">
        <v>44</v>
      </c>
      <c r="P95" s="3" t="s">
        <v>34</v>
      </c>
      <c r="Q95" s="3">
        <v>97</v>
      </c>
      <c r="R95" s="3" t="s">
        <v>63</v>
      </c>
      <c r="S95" s="3">
        <v>3.15</v>
      </c>
      <c r="T95" s="3">
        <v>3.29</v>
      </c>
      <c r="U95" s="3">
        <v>9.4</v>
      </c>
      <c r="V95" s="3">
        <v>69</v>
      </c>
      <c r="W95" s="3">
        <v>5200</v>
      </c>
      <c r="X95" s="3">
        <v>31</v>
      </c>
      <c r="Y95" s="3">
        <v>37</v>
      </c>
      <c r="Z95" s="3">
        <v>7349</v>
      </c>
      <c r="AA95">
        <f t="shared" si="1"/>
        <v>6614.1</v>
      </c>
    </row>
    <row r="96" spans="1:27" ht="14.25" hidden="1" customHeight="1" x14ac:dyDescent="0.35">
      <c r="A96" s="3">
        <v>95</v>
      </c>
      <c r="B96" s="3">
        <v>1</v>
      </c>
      <c r="C96" s="3" t="s">
        <v>133</v>
      </c>
      <c r="D96" s="3" t="s">
        <v>27</v>
      </c>
      <c r="E96" s="3" t="s">
        <v>28</v>
      </c>
      <c r="F96" s="3" t="s">
        <v>29</v>
      </c>
      <c r="G96" s="3" t="s">
        <v>42</v>
      </c>
      <c r="H96" s="3" t="s">
        <v>43</v>
      </c>
      <c r="I96" s="3" t="s">
        <v>32</v>
      </c>
      <c r="J96" s="3">
        <v>94.5</v>
      </c>
      <c r="K96" s="3">
        <v>165.3</v>
      </c>
      <c r="L96" s="3">
        <v>63.8</v>
      </c>
      <c r="M96" s="3">
        <v>54.5</v>
      </c>
      <c r="N96" s="3">
        <v>1951</v>
      </c>
      <c r="O96" s="3" t="s">
        <v>44</v>
      </c>
      <c r="P96" s="3" t="s">
        <v>34</v>
      </c>
      <c r="Q96" s="3">
        <v>97</v>
      </c>
      <c r="R96" s="3" t="s">
        <v>63</v>
      </c>
      <c r="S96" s="3">
        <v>3.15</v>
      </c>
      <c r="T96" s="3">
        <v>3.29</v>
      </c>
      <c r="U96" s="3">
        <v>9.4</v>
      </c>
      <c r="V96" s="3">
        <v>69</v>
      </c>
      <c r="W96" s="3">
        <v>5200</v>
      </c>
      <c r="X96" s="3">
        <v>31</v>
      </c>
      <c r="Y96" s="3">
        <v>37</v>
      </c>
      <c r="Z96" s="3">
        <v>7299</v>
      </c>
      <c r="AA96">
        <f t="shared" si="1"/>
        <v>6569.1</v>
      </c>
    </row>
    <row r="97" spans="1:27" ht="14.25" hidden="1" customHeight="1" x14ac:dyDescent="0.35">
      <c r="A97" s="3">
        <v>96</v>
      </c>
      <c r="B97" s="3">
        <v>1</v>
      </c>
      <c r="C97" s="3" t="s">
        <v>134</v>
      </c>
      <c r="D97" s="3" t="s">
        <v>27</v>
      </c>
      <c r="E97" s="3" t="s">
        <v>28</v>
      </c>
      <c r="F97" s="3" t="s">
        <v>29</v>
      </c>
      <c r="G97" s="3" t="s">
        <v>38</v>
      </c>
      <c r="H97" s="3" t="s">
        <v>43</v>
      </c>
      <c r="I97" s="3" t="s">
        <v>32</v>
      </c>
      <c r="J97" s="3">
        <v>94.5</v>
      </c>
      <c r="K97" s="3">
        <v>165.6</v>
      </c>
      <c r="L97" s="3">
        <v>63.8</v>
      </c>
      <c r="M97" s="3">
        <v>53.3</v>
      </c>
      <c r="N97" s="3">
        <v>2028</v>
      </c>
      <c r="O97" s="3" t="s">
        <v>44</v>
      </c>
      <c r="P97" s="3" t="s">
        <v>34</v>
      </c>
      <c r="Q97" s="3">
        <v>97</v>
      </c>
      <c r="R97" s="3" t="s">
        <v>63</v>
      </c>
      <c r="S97" s="3">
        <v>3.15</v>
      </c>
      <c r="T97" s="3">
        <v>3.29</v>
      </c>
      <c r="U97" s="3">
        <v>9.4</v>
      </c>
      <c r="V97" s="3">
        <v>69</v>
      </c>
      <c r="W97" s="3">
        <v>5200</v>
      </c>
      <c r="X97" s="3">
        <v>31</v>
      </c>
      <c r="Y97" s="3">
        <v>37</v>
      </c>
      <c r="Z97" s="3">
        <v>7799</v>
      </c>
      <c r="AA97">
        <f t="shared" si="1"/>
        <v>7019.1</v>
      </c>
    </row>
    <row r="98" spans="1:27" ht="14.25" hidden="1" customHeight="1" x14ac:dyDescent="0.35">
      <c r="A98" s="3">
        <v>97</v>
      </c>
      <c r="B98" s="3">
        <v>1</v>
      </c>
      <c r="C98" s="3" t="s">
        <v>131</v>
      </c>
      <c r="D98" s="3" t="s">
        <v>27</v>
      </c>
      <c r="E98" s="3" t="s">
        <v>28</v>
      </c>
      <c r="F98" s="3" t="s">
        <v>34</v>
      </c>
      <c r="G98" s="3" t="s">
        <v>42</v>
      </c>
      <c r="H98" s="3" t="s">
        <v>43</v>
      </c>
      <c r="I98" s="3" t="s">
        <v>32</v>
      </c>
      <c r="J98" s="3">
        <v>94.5</v>
      </c>
      <c r="K98" s="3">
        <v>165.3</v>
      </c>
      <c r="L98" s="3">
        <v>63.8</v>
      </c>
      <c r="M98" s="3">
        <v>54.5</v>
      </c>
      <c r="N98" s="3">
        <v>1971</v>
      </c>
      <c r="O98" s="3" t="s">
        <v>44</v>
      </c>
      <c r="P98" s="3" t="s">
        <v>34</v>
      </c>
      <c r="Q98" s="3">
        <v>97</v>
      </c>
      <c r="R98" s="3" t="s">
        <v>63</v>
      </c>
      <c r="S98" s="3">
        <v>3.15</v>
      </c>
      <c r="T98" s="3">
        <v>3.29</v>
      </c>
      <c r="U98" s="3">
        <v>9.4</v>
      </c>
      <c r="V98" s="3">
        <v>69</v>
      </c>
      <c r="W98" s="3">
        <v>5200</v>
      </c>
      <c r="X98" s="3">
        <v>31</v>
      </c>
      <c r="Y98" s="3">
        <v>37</v>
      </c>
      <c r="Z98" s="3">
        <v>7499</v>
      </c>
      <c r="AA98">
        <f t="shared" si="1"/>
        <v>6749.1</v>
      </c>
    </row>
    <row r="99" spans="1:27" ht="14.25" hidden="1" customHeight="1" x14ac:dyDescent="0.35">
      <c r="A99" s="3">
        <v>98</v>
      </c>
      <c r="B99" s="3">
        <v>1</v>
      </c>
      <c r="C99" s="3" t="s">
        <v>135</v>
      </c>
      <c r="D99" s="3" t="s">
        <v>27</v>
      </c>
      <c r="E99" s="3" t="s">
        <v>28</v>
      </c>
      <c r="F99" s="3" t="s">
        <v>34</v>
      </c>
      <c r="G99" s="3" t="s">
        <v>50</v>
      </c>
      <c r="H99" s="3" t="s">
        <v>43</v>
      </c>
      <c r="I99" s="3" t="s">
        <v>32</v>
      </c>
      <c r="J99" s="3">
        <v>94.5</v>
      </c>
      <c r="K99" s="3">
        <v>170.2</v>
      </c>
      <c r="L99" s="3">
        <v>63.8</v>
      </c>
      <c r="M99" s="3">
        <v>53.5</v>
      </c>
      <c r="N99" s="3">
        <v>2037</v>
      </c>
      <c r="O99" s="3" t="s">
        <v>44</v>
      </c>
      <c r="P99" s="3" t="s">
        <v>34</v>
      </c>
      <c r="Q99" s="3">
        <v>97</v>
      </c>
      <c r="R99" s="3" t="s">
        <v>63</v>
      </c>
      <c r="S99" s="3">
        <v>3.15</v>
      </c>
      <c r="T99" s="3">
        <v>3.29</v>
      </c>
      <c r="U99" s="3">
        <v>9.4</v>
      </c>
      <c r="V99" s="3">
        <v>69</v>
      </c>
      <c r="W99" s="3">
        <v>5200</v>
      </c>
      <c r="X99" s="3">
        <v>31</v>
      </c>
      <c r="Y99" s="3">
        <v>37</v>
      </c>
      <c r="Z99" s="3">
        <v>7999</v>
      </c>
      <c r="AA99">
        <f t="shared" si="1"/>
        <v>7199.1</v>
      </c>
    </row>
    <row r="100" spans="1:27" ht="14.25" hidden="1" customHeight="1" x14ac:dyDescent="0.35">
      <c r="A100" s="3">
        <v>99</v>
      </c>
      <c r="B100" s="3">
        <v>2</v>
      </c>
      <c r="C100" s="3" t="s">
        <v>136</v>
      </c>
      <c r="D100" s="3" t="s">
        <v>27</v>
      </c>
      <c r="E100" s="3" t="s">
        <v>28</v>
      </c>
      <c r="F100" s="3" t="s">
        <v>29</v>
      </c>
      <c r="G100" s="3" t="s">
        <v>112</v>
      </c>
      <c r="H100" s="3" t="s">
        <v>43</v>
      </c>
      <c r="I100" s="3" t="s">
        <v>32</v>
      </c>
      <c r="J100" s="3">
        <v>95.1</v>
      </c>
      <c r="K100" s="3">
        <v>162.4</v>
      </c>
      <c r="L100" s="3">
        <v>63.8</v>
      </c>
      <c r="M100" s="3">
        <v>53.3</v>
      </c>
      <c r="N100" s="3">
        <v>2008</v>
      </c>
      <c r="O100" s="3" t="s">
        <v>44</v>
      </c>
      <c r="P100" s="3" t="s">
        <v>34</v>
      </c>
      <c r="Q100" s="3">
        <v>97</v>
      </c>
      <c r="R100" s="3" t="s">
        <v>63</v>
      </c>
      <c r="S100" s="3">
        <v>3.15</v>
      </c>
      <c r="T100" s="3">
        <v>3.29</v>
      </c>
      <c r="U100" s="3">
        <v>9.4</v>
      </c>
      <c r="V100" s="3">
        <v>69</v>
      </c>
      <c r="W100" s="3">
        <v>5200</v>
      </c>
      <c r="X100" s="3">
        <v>31</v>
      </c>
      <c r="Y100" s="3">
        <v>37</v>
      </c>
      <c r="Z100" s="3">
        <v>8249</v>
      </c>
      <c r="AA100">
        <f t="shared" si="1"/>
        <v>7424.1</v>
      </c>
    </row>
    <row r="101" spans="1:27" ht="14.25" hidden="1" customHeight="1" x14ac:dyDescent="0.35">
      <c r="A101" s="3">
        <v>100</v>
      </c>
      <c r="B101" s="3">
        <v>0</v>
      </c>
      <c r="C101" s="3" t="s">
        <v>130</v>
      </c>
      <c r="D101" s="3" t="s">
        <v>27</v>
      </c>
      <c r="E101" s="3" t="s">
        <v>28</v>
      </c>
      <c r="F101" s="3" t="s">
        <v>34</v>
      </c>
      <c r="G101" s="3" t="s">
        <v>38</v>
      </c>
      <c r="H101" s="3" t="s">
        <v>43</v>
      </c>
      <c r="I101" s="3" t="s">
        <v>32</v>
      </c>
      <c r="J101" s="3">
        <v>97.2</v>
      </c>
      <c r="K101" s="3">
        <v>173.4</v>
      </c>
      <c r="L101" s="3">
        <v>65.2</v>
      </c>
      <c r="M101" s="3">
        <v>54.7</v>
      </c>
      <c r="N101" s="3">
        <v>2324</v>
      </c>
      <c r="O101" s="3" t="s">
        <v>44</v>
      </c>
      <c r="P101" s="3" t="s">
        <v>34</v>
      </c>
      <c r="Q101" s="3">
        <v>120</v>
      </c>
      <c r="R101" s="3" t="s">
        <v>63</v>
      </c>
      <c r="S101" s="3">
        <v>3.33</v>
      </c>
      <c r="T101" s="3">
        <v>3.47</v>
      </c>
      <c r="U101" s="3">
        <v>8.5</v>
      </c>
      <c r="V101" s="3">
        <v>97</v>
      </c>
      <c r="W101" s="3">
        <v>5200</v>
      </c>
      <c r="X101" s="3">
        <v>27</v>
      </c>
      <c r="Y101" s="3">
        <v>34</v>
      </c>
      <c r="Z101" s="3">
        <v>8949</v>
      </c>
      <c r="AA101">
        <f t="shared" si="1"/>
        <v>8054.1</v>
      </c>
    </row>
    <row r="102" spans="1:27" ht="14.25" hidden="1" customHeight="1" x14ac:dyDescent="0.35">
      <c r="A102" s="3">
        <v>101</v>
      </c>
      <c r="B102" s="3">
        <v>0</v>
      </c>
      <c r="C102" s="3" t="s">
        <v>137</v>
      </c>
      <c r="D102" s="3" t="s">
        <v>27</v>
      </c>
      <c r="E102" s="3" t="s">
        <v>28</v>
      </c>
      <c r="F102" s="3" t="s">
        <v>34</v>
      </c>
      <c r="G102" s="3" t="s">
        <v>42</v>
      </c>
      <c r="H102" s="3" t="s">
        <v>43</v>
      </c>
      <c r="I102" s="3" t="s">
        <v>32</v>
      </c>
      <c r="J102" s="3">
        <v>97.2</v>
      </c>
      <c r="K102" s="3">
        <v>173.4</v>
      </c>
      <c r="L102" s="3">
        <v>65.2</v>
      </c>
      <c r="M102" s="3">
        <v>54.7</v>
      </c>
      <c r="N102" s="3">
        <v>2302</v>
      </c>
      <c r="O102" s="3" t="s">
        <v>44</v>
      </c>
      <c r="P102" s="3" t="s">
        <v>34</v>
      </c>
      <c r="Q102" s="3">
        <v>120</v>
      </c>
      <c r="R102" s="3" t="s">
        <v>63</v>
      </c>
      <c r="S102" s="3">
        <v>3.33</v>
      </c>
      <c r="T102" s="3">
        <v>3.47</v>
      </c>
      <c r="U102" s="3">
        <v>8.5</v>
      </c>
      <c r="V102" s="3">
        <v>97</v>
      </c>
      <c r="W102" s="3">
        <v>5200</v>
      </c>
      <c r="X102" s="3">
        <v>27</v>
      </c>
      <c r="Y102" s="3">
        <v>34</v>
      </c>
      <c r="Z102" s="3">
        <v>9549</v>
      </c>
      <c r="AA102">
        <f t="shared" si="1"/>
        <v>8594.1</v>
      </c>
    </row>
    <row r="103" spans="1:27" ht="14.25" hidden="1" customHeight="1" x14ac:dyDescent="0.35">
      <c r="A103" s="3">
        <v>102</v>
      </c>
      <c r="B103" s="3">
        <v>0</v>
      </c>
      <c r="C103" s="3" t="s">
        <v>138</v>
      </c>
      <c r="D103" s="3" t="s">
        <v>27</v>
      </c>
      <c r="E103" s="3" t="s">
        <v>28</v>
      </c>
      <c r="F103" s="3" t="s">
        <v>34</v>
      </c>
      <c r="G103" s="3" t="s">
        <v>42</v>
      </c>
      <c r="H103" s="3" t="s">
        <v>43</v>
      </c>
      <c r="I103" s="3" t="s">
        <v>32</v>
      </c>
      <c r="J103" s="3">
        <v>100.4</v>
      </c>
      <c r="K103" s="3">
        <v>181.7</v>
      </c>
      <c r="L103" s="3">
        <v>66.5</v>
      </c>
      <c r="M103" s="3">
        <v>55.1</v>
      </c>
      <c r="N103" s="3">
        <v>3095</v>
      </c>
      <c r="O103" s="3" t="s">
        <v>39</v>
      </c>
      <c r="P103" s="3" t="s">
        <v>40</v>
      </c>
      <c r="Q103" s="3">
        <v>181</v>
      </c>
      <c r="R103" s="3" t="s">
        <v>35</v>
      </c>
      <c r="S103" s="3">
        <v>3.43</v>
      </c>
      <c r="T103" s="3">
        <v>3.27</v>
      </c>
      <c r="U103" s="3">
        <v>9</v>
      </c>
      <c r="V103" s="3">
        <v>152</v>
      </c>
      <c r="W103" s="3">
        <v>5200</v>
      </c>
      <c r="X103" s="3">
        <v>17</v>
      </c>
      <c r="Y103" s="3">
        <v>22</v>
      </c>
      <c r="Z103" s="3">
        <v>13499</v>
      </c>
      <c r="AA103">
        <f t="shared" si="1"/>
        <v>12149.1</v>
      </c>
    </row>
    <row r="104" spans="1:27" ht="14.25" hidden="1" customHeight="1" x14ac:dyDescent="0.35">
      <c r="A104" s="3">
        <v>103</v>
      </c>
      <c r="B104" s="3">
        <v>0</v>
      </c>
      <c r="C104" s="3" t="s">
        <v>139</v>
      </c>
      <c r="D104" s="3" t="s">
        <v>27</v>
      </c>
      <c r="E104" s="3" t="s">
        <v>28</v>
      </c>
      <c r="F104" s="3" t="s">
        <v>34</v>
      </c>
      <c r="G104" s="3" t="s">
        <v>50</v>
      </c>
      <c r="H104" s="3" t="s">
        <v>43</v>
      </c>
      <c r="I104" s="3" t="s">
        <v>32</v>
      </c>
      <c r="J104" s="3">
        <v>100.4</v>
      </c>
      <c r="K104" s="3">
        <v>184.6</v>
      </c>
      <c r="L104" s="3">
        <v>66.5</v>
      </c>
      <c r="M104" s="3">
        <v>56.1</v>
      </c>
      <c r="N104" s="3">
        <v>3296</v>
      </c>
      <c r="O104" s="3" t="s">
        <v>39</v>
      </c>
      <c r="P104" s="3" t="s">
        <v>40</v>
      </c>
      <c r="Q104" s="3">
        <v>181</v>
      </c>
      <c r="R104" s="3" t="s">
        <v>35</v>
      </c>
      <c r="S104" s="3">
        <v>3.43</v>
      </c>
      <c r="T104" s="3">
        <v>3.27</v>
      </c>
      <c r="U104" s="3">
        <v>9</v>
      </c>
      <c r="V104" s="3">
        <v>152</v>
      </c>
      <c r="W104" s="3">
        <v>5200</v>
      </c>
      <c r="X104" s="3">
        <v>17</v>
      </c>
      <c r="Y104" s="3">
        <v>22</v>
      </c>
      <c r="Z104" s="3">
        <v>14399</v>
      </c>
      <c r="AA104">
        <f t="shared" si="1"/>
        <v>12959.1</v>
      </c>
    </row>
    <row r="105" spans="1:27" ht="14.25" hidden="1" customHeight="1" x14ac:dyDescent="0.35">
      <c r="A105" s="3">
        <v>104</v>
      </c>
      <c r="B105" s="3">
        <v>0</v>
      </c>
      <c r="C105" s="3" t="s">
        <v>140</v>
      </c>
      <c r="D105" s="3" t="s">
        <v>27</v>
      </c>
      <c r="E105" s="3" t="s">
        <v>28</v>
      </c>
      <c r="F105" s="3" t="s">
        <v>34</v>
      </c>
      <c r="G105" s="3" t="s">
        <v>42</v>
      </c>
      <c r="H105" s="3" t="s">
        <v>43</v>
      </c>
      <c r="I105" s="3" t="s">
        <v>32</v>
      </c>
      <c r="J105" s="3">
        <v>100.4</v>
      </c>
      <c r="K105" s="3">
        <v>184.6</v>
      </c>
      <c r="L105" s="3">
        <v>66.5</v>
      </c>
      <c r="M105" s="3">
        <v>55.1</v>
      </c>
      <c r="N105" s="3">
        <v>3060</v>
      </c>
      <c r="O105" s="3" t="s">
        <v>39</v>
      </c>
      <c r="P105" s="3" t="s">
        <v>40</v>
      </c>
      <c r="Q105" s="3">
        <v>181</v>
      </c>
      <c r="R105" s="3" t="s">
        <v>35</v>
      </c>
      <c r="S105" s="3">
        <v>3.43</v>
      </c>
      <c r="T105" s="3">
        <v>3.27</v>
      </c>
      <c r="U105" s="3">
        <v>9</v>
      </c>
      <c r="V105" s="3">
        <v>152</v>
      </c>
      <c r="W105" s="3">
        <v>5200</v>
      </c>
      <c r="X105" s="3">
        <v>19</v>
      </c>
      <c r="Y105" s="3">
        <v>25</v>
      </c>
      <c r="Z105" s="3">
        <v>13499</v>
      </c>
      <c r="AA105">
        <f t="shared" si="1"/>
        <v>12149.1</v>
      </c>
    </row>
    <row r="106" spans="1:27" ht="14.25" hidden="1" customHeight="1" x14ac:dyDescent="0.35">
      <c r="A106" s="3">
        <v>105</v>
      </c>
      <c r="B106" s="3">
        <v>3</v>
      </c>
      <c r="C106" s="3" t="s">
        <v>141</v>
      </c>
      <c r="D106" s="3" t="s">
        <v>27</v>
      </c>
      <c r="E106" s="3" t="s">
        <v>28</v>
      </c>
      <c r="F106" s="3" t="s">
        <v>29</v>
      </c>
      <c r="G106" s="3" t="s">
        <v>38</v>
      </c>
      <c r="H106" s="3" t="s">
        <v>31</v>
      </c>
      <c r="I106" s="3" t="s">
        <v>32</v>
      </c>
      <c r="J106" s="3">
        <v>91.3</v>
      </c>
      <c r="K106" s="3">
        <v>170.7</v>
      </c>
      <c r="L106" s="3">
        <v>67.900000000000006</v>
      </c>
      <c r="M106" s="3">
        <v>49.7</v>
      </c>
      <c r="N106" s="3">
        <v>3071</v>
      </c>
      <c r="O106" s="3" t="s">
        <v>39</v>
      </c>
      <c r="P106" s="3" t="s">
        <v>40</v>
      </c>
      <c r="Q106" s="3">
        <v>181</v>
      </c>
      <c r="R106" s="3" t="s">
        <v>35</v>
      </c>
      <c r="S106" s="3">
        <v>3.43</v>
      </c>
      <c r="T106" s="3">
        <v>3.27</v>
      </c>
      <c r="U106" s="3">
        <v>9</v>
      </c>
      <c r="V106" s="3">
        <v>160</v>
      </c>
      <c r="W106" s="3">
        <v>5200</v>
      </c>
      <c r="X106" s="3">
        <v>19</v>
      </c>
      <c r="Y106" s="3">
        <v>25</v>
      </c>
      <c r="Z106" s="3">
        <v>17199</v>
      </c>
      <c r="AA106">
        <f t="shared" si="1"/>
        <v>15479.1</v>
      </c>
    </row>
    <row r="107" spans="1:27" ht="14.25" hidden="1" customHeight="1" x14ac:dyDescent="0.35">
      <c r="A107" s="3">
        <v>106</v>
      </c>
      <c r="B107" s="3">
        <v>3</v>
      </c>
      <c r="C107" s="3" t="s">
        <v>142</v>
      </c>
      <c r="D107" s="3" t="s">
        <v>27</v>
      </c>
      <c r="E107" s="3" t="s">
        <v>52</v>
      </c>
      <c r="F107" s="3" t="s">
        <v>29</v>
      </c>
      <c r="G107" s="3" t="s">
        <v>38</v>
      </c>
      <c r="H107" s="3" t="s">
        <v>31</v>
      </c>
      <c r="I107" s="3" t="s">
        <v>32</v>
      </c>
      <c r="J107" s="3">
        <v>91.3</v>
      </c>
      <c r="K107" s="3">
        <v>170.7</v>
      </c>
      <c r="L107" s="3">
        <v>67.900000000000006</v>
      </c>
      <c r="M107" s="3">
        <v>49.7</v>
      </c>
      <c r="N107" s="3">
        <v>3139</v>
      </c>
      <c r="O107" s="3" t="s">
        <v>39</v>
      </c>
      <c r="P107" s="3" t="s">
        <v>40</v>
      </c>
      <c r="Q107" s="3">
        <v>181</v>
      </c>
      <c r="R107" s="3" t="s">
        <v>35</v>
      </c>
      <c r="S107" s="3">
        <v>3.43</v>
      </c>
      <c r="T107" s="3">
        <v>3.27</v>
      </c>
      <c r="U107" s="3">
        <v>7.8</v>
      </c>
      <c r="V107" s="3">
        <v>200</v>
      </c>
      <c r="W107" s="3">
        <v>5200</v>
      </c>
      <c r="X107" s="3">
        <v>17</v>
      </c>
      <c r="Y107" s="3">
        <v>23</v>
      </c>
      <c r="Z107" s="3">
        <v>19699</v>
      </c>
      <c r="AA107">
        <f t="shared" si="1"/>
        <v>17729.100000000002</v>
      </c>
    </row>
    <row r="108" spans="1:27" ht="14.25" hidden="1" customHeight="1" x14ac:dyDescent="0.35">
      <c r="A108" s="3">
        <v>107</v>
      </c>
      <c r="B108" s="3">
        <v>1</v>
      </c>
      <c r="C108" s="3" t="s">
        <v>136</v>
      </c>
      <c r="D108" s="3" t="s">
        <v>27</v>
      </c>
      <c r="E108" s="3" t="s">
        <v>28</v>
      </c>
      <c r="F108" s="3" t="s">
        <v>29</v>
      </c>
      <c r="G108" s="3" t="s">
        <v>38</v>
      </c>
      <c r="H108" s="3" t="s">
        <v>31</v>
      </c>
      <c r="I108" s="3" t="s">
        <v>32</v>
      </c>
      <c r="J108" s="3">
        <v>99.2</v>
      </c>
      <c r="K108" s="3">
        <v>178.5</v>
      </c>
      <c r="L108" s="3">
        <v>67.900000000000006</v>
      </c>
      <c r="M108" s="3">
        <v>49.7</v>
      </c>
      <c r="N108" s="3">
        <v>3139</v>
      </c>
      <c r="O108" s="3" t="s">
        <v>39</v>
      </c>
      <c r="P108" s="3" t="s">
        <v>40</v>
      </c>
      <c r="Q108" s="3">
        <v>181</v>
      </c>
      <c r="R108" s="3" t="s">
        <v>35</v>
      </c>
      <c r="S108" s="3">
        <v>3.43</v>
      </c>
      <c r="T108" s="3">
        <v>3.27</v>
      </c>
      <c r="U108" s="3">
        <v>9</v>
      </c>
      <c r="V108" s="3">
        <v>160</v>
      </c>
      <c r="W108" s="3">
        <v>5200</v>
      </c>
      <c r="X108" s="3">
        <v>19</v>
      </c>
      <c r="Y108" s="3">
        <v>25</v>
      </c>
      <c r="Z108" s="3">
        <v>18399</v>
      </c>
      <c r="AA108">
        <f t="shared" si="1"/>
        <v>16559.100000000002</v>
      </c>
    </row>
    <row r="109" spans="1:27" ht="14.25" hidden="1" customHeight="1" x14ac:dyDescent="0.35">
      <c r="A109" s="3">
        <v>108</v>
      </c>
      <c r="B109" s="3">
        <v>0</v>
      </c>
      <c r="C109" s="3" t="s">
        <v>143</v>
      </c>
      <c r="D109" s="3" t="s">
        <v>27</v>
      </c>
      <c r="E109" s="3" t="s">
        <v>28</v>
      </c>
      <c r="F109" s="3" t="s">
        <v>34</v>
      </c>
      <c r="G109" s="3" t="s">
        <v>42</v>
      </c>
      <c r="H109" s="3" t="s">
        <v>31</v>
      </c>
      <c r="I109" s="3" t="s">
        <v>32</v>
      </c>
      <c r="J109" s="3">
        <v>107.9</v>
      </c>
      <c r="K109" s="3">
        <v>186.7</v>
      </c>
      <c r="L109" s="3">
        <v>68.400000000000006</v>
      </c>
      <c r="M109" s="3">
        <v>56.7</v>
      </c>
      <c r="N109" s="3">
        <v>3020</v>
      </c>
      <c r="O109" s="3" t="s">
        <v>61</v>
      </c>
      <c r="P109" s="3" t="s">
        <v>34</v>
      </c>
      <c r="Q109" s="3">
        <v>120</v>
      </c>
      <c r="R109" s="3" t="s">
        <v>35</v>
      </c>
      <c r="S109" s="3">
        <v>3.46</v>
      </c>
      <c r="T109" s="3">
        <v>3.19</v>
      </c>
      <c r="U109" s="3">
        <v>8.4</v>
      </c>
      <c r="V109" s="3">
        <v>97</v>
      </c>
      <c r="W109" s="3">
        <v>5000</v>
      </c>
      <c r="X109" s="3">
        <v>19</v>
      </c>
      <c r="Y109" s="3">
        <v>24</v>
      </c>
      <c r="Z109" s="3">
        <v>11900</v>
      </c>
      <c r="AA109">
        <f t="shared" si="1"/>
        <v>10710</v>
      </c>
    </row>
    <row r="110" spans="1:27" ht="14.25" customHeight="1" x14ac:dyDescent="0.35">
      <c r="A110" s="3">
        <v>109</v>
      </c>
      <c r="B110" s="3">
        <v>0</v>
      </c>
      <c r="C110" s="3" t="s">
        <v>144</v>
      </c>
      <c r="D110" s="3" t="s">
        <v>107</v>
      </c>
      <c r="E110" s="3" t="s">
        <v>52</v>
      </c>
      <c r="F110" s="3" t="s">
        <v>34</v>
      </c>
      <c r="G110" s="3" t="s">
        <v>42</v>
      </c>
      <c r="H110" s="3" t="s">
        <v>31</v>
      </c>
      <c r="I110" s="3" t="s">
        <v>32</v>
      </c>
      <c r="J110" s="3">
        <v>107.9</v>
      </c>
      <c r="K110" s="3">
        <v>186.7</v>
      </c>
      <c r="L110" s="3">
        <v>68.400000000000006</v>
      </c>
      <c r="M110" s="3">
        <v>56.7</v>
      </c>
      <c r="N110" s="3">
        <v>3197</v>
      </c>
      <c r="O110" s="3" t="s">
        <v>61</v>
      </c>
      <c r="P110" s="3" t="s">
        <v>34</v>
      </c>
      <c r="Q110" s="3">
        <v>152</v>
      </c>
      <c r="R110" s="3" t="s">
        <v>108</v>
      </c>
      <c r="S110" s="3">
        <v>3.7</v>
      </c>
      <c r="T110" s="3">
        <v>3.52</v>
      </c>
      <c r="U110" s="3">
        <v>21</v>
      </c>
      <c r="V110" s="3">
        <v>95</v>
      </c>
      <c r="W110" s="3">
        <v>4150</v>
      </c>
      <c r="X110" s="3">
        <v>28</v>
      </c>
      <c r="Y110" s="3">
        <v>33</v>
      </c>
      <c r="Z110" s="3">
        <v>13200</v>
      </c>
      <c r="AA110">
        <f t="shared" si="1"/>
        <v>11880</v>
      </c>
    </row>
    <row r="111" spans="1:27" ht="14.25" hidden="1" customHeight="1" x14ac:dyDescent="0.35">
      <c r="A111" s="3">
        <v>110</v>
      </c>
      <c r="B111" s="3">
        <v>0</v>
      </c>
      <c r="C111" s="3" t="s">
        <v>145</v>
      </c>
      <c r="D111" s="3" t="s">
        <v>27</v>
      </c>
      <c r="E111" s="3" t="s">
        <v>28</v>
      </c>
      <c r="F111" s="3" t="s">
        <v>34</v>
      </c>
      <c r="G111" s="3" t="s">
        <v>50</v>
      </c>
      <c r="H111" s="3" t="s">
        <v>31</v>
      </c>
      <c r="I111" s="3" t="s">
        <v>32</v>
      </c>
      <c r="J111" s="3">
        <v>114.2</v>
      </c>
      <c r="K111" s="3">
        <v>198.9</v>
      </c>
      <c r="L111" s="3">
        <v>68.400000000000006</v>
      </c>
      <c r="M111" s="3">
        <v>58.7</v>
      </c>
      <c r="N111" s="3">
        <v>3230</v>
      </c>
      <c r="O111" s="3" t="s">
        <v>61</v>
      </c>
      <c r="P111" s="3" t="s">
        <v>34</v>
      </c>
      <c r="Q111" s="3">
        <v>120</v>
      </c>
      <c r="R111" s="3" t="s">
        <v>35</v>
      </c>
      <c r="S111" s="3">
        <v>3.46</v>
      </c>
      <c r="T111" s="3">
        <v>3.19</v>
      </c>
      <c r="U111" s="3">
        <v>8.4</v>
      </c>
      <c r="V111" s="3">
        <v>97</v>
      </c>
      <c r="W111" s="3">
        <v>5000</v>
      </c>
      <c r="X111" s="3">
        <v>19</v>
      </c>
      <c r="Y111" s="3">
        <v>24</v>
      </c>
      <c r="Z111" s="3">
        <v>12440</v>
      </c>
      <c r="AA111">
        <f t="shared" si="1"/>
        <v>11196</v>
      </c>
    </row>
    <row r="112" spans="1:27" ht="14.25" customHeight="1" x14ac:dyDescent="0.35">
      <c r="A112" s="3">
        <v>111</v>
      </c>
      <c r="B112" s="3">
        <v>0</v>
      </c>
      <c r="C112" s="3" t="s">
        <v>143</v>
      </c>
      <c r="D112" s="3" t="s">
        <v>107</v>
      </c>
      <c r="E112" s="3" t="s">
        <v>52</v>
      </c>
      <c r="F112" s="3" t="s">
        <v>34</v>
      </c>
      <c r="G112" s="3" t="s">
        <v>50</v>
      </c>
      <c r="H112" s="3" t="s">
        <v>31</v>
      </c>
      <c r="I112" s="3" t="s">
        <v>32</v>
      </c>
      <c r="J112" s="3">
        <v>114.2</v>
      </c>
      <c r="K112" s="3">
        <v>198.9</v>
      </c>
      <c r="L112" s="3">
        <v>68.400000000000006</v>
      </c>
      <c r="M112" s="3">
        <v>58.7</v>
      </c>
      <c r="N112" s="3">
        <v>3430</v>
      </c>
      <c r="O112" s="3" t="s">
        <v>61</v>
      </c>
      <c r="P112" s="3" t="s">
        <v>34</v>
      </c>
      <c r="Q112" s="3">
        <v>152</v>
      </c>
      <c r="R112" s="3" t="s">
        <v>108</v>
      </c>
      <c r="S112" s="3">
        <v>3.7</v>
      </c>
      <c r="T112" s="3">
        <v>3.52</v>
      </c>
      <c r="U112" s="3">
        <v>21</v>
      </c>
      <c r="V112" s="3">
        <v>95</v>
      </c>
      <c r="W112" s="3">
        <v>4150</v>
      </c>
      <c r="X112" s="3">
        <v>25</v>
      </c>
      <c r="Y112" s="3">
        <v>25</v>
      </c>
      <c r="Z112" s="3">
        <v>13860</v>
      </c>
      <c r="AA112">
        <f t="shared" si="1"/>
        <v>12474</v>
      </c>
    </row>
    <row r="113" spans="1:27" ht="14.25" hidden="1" customHeight="1" x14ac:dyDescent="0.35">
      <c r="A113" s="3">
        <v>112</v>
      </c>
      <c r="B113" s="3">
        <v>0</v>
      </c>
      <c r="C113" s="3" t="s">
        <v>143</v>
      </c>
      <c r="D113" s="3" t="s">
        <v>27</v>
      </c>
      <c r="E113" s="3" t="s">
        <v>28</v>
      </c>
      <c r="F113" s="3" t="s">
        <v>34</v>
      </c>
      <c r="G113" s="3" t="s">
        <v>42</v>
      </c>
      <c r="H113" s="3" t="s">
        <v>31</v>
      </c>
      <c r="I113" s="3" t="s">
        <v>32</v>
      </c>
      <c r="J113" s="3">
        <v>107.9</v>
      </c>
      <c r="K113" s="3">
        <v>186.7</v>
      </c>
      <c r="L113" s="3">
        <v>68.400000000000006</v>
      </c>
      <c r="M113" s="3">
        <v>56.7</v>
      </c>
      <c r="N113" s="3">
        <v>3075</v>
      </c>
      <c r="O113" s="3" t="s">
        <v>61</v>
      </c>
      <c r="P113" s="3" t="s">
        <v>34</v>
      </c>
      <c r="Q113" s="3">
        <v>120</v>
      </c>
      <c r="R113" s="3" t="s">
        <v>35</v>
      </c>
      <c r="S113" s="3">
        <v>3.46</v>
      </c>
      <c r="T113" s="3">
        <v>2.19</v>
      </c>
      <c r="U113" s="3">
        <v>8.4</v>
      </c>
      <c r="V113" s="3">
        <v>95</v>
      </c>
      <c r="W113" s="3">
        <v>5000</v>
      </c>
      <c r="X113" s="3">
        <v>19</v>
      </c>
      <c r="Y113" s="3">
        <v>24</v>
      </c>
      <c r="Z113" s="3">
        <v>15580</v>
      </c>
      <c r="AA113">
        <f t="shared" si="1"/>
        <v>14022</v>
      </c>
    </row>
    <row r="114" spans="1:27" ht="14.25" customHeight="1" x14ac:dyDescent="0.35">
      <c r="A114" s="3">
        <v>113</v>
      </c>
      <c r="B114" s="3">
        <v>0</v>
      </c>
      <c r="C114" s="3" t="s">
        <v>146</v>
      </c>
      <c r="D114" s="3" t="s">
        <v>107</v>
      </c>
      <c r="E114" s="3" t="s">
        <v>52</v>
      </c>
      <c r="F114" s="3" t="s">
        <v>34</v>
      </c>
      <c r="G114" s="3" t="s">
        <v>42</v>
      </c>
      <c r="H114" s="3" t="s">
        <v>31</v>
      </c>
      <c r="I114" s="3" t="s">
        <v>32</v>
      </c>
      <c r="J114" s="3">
        <v>107.9</v>
      </c>
      <c r="K114" s="3">
        <v>186.7</v>
      </c>
      <c r="L114" s="3">
        <v>68.400000000000006</v>
      </c>
      <c r="M114" s="3">
        <v>56.7</v>
      </c>
      <c r="N114" s="3">
        <v>3252</v>
      </c>
      <c r="O114" s="3" t="s">
        <v>61</v>
      </c>
      <c r="P114" s="3" t="s">
        <v>34</v>
      </c>
      <c r="Q114" s="3">
        <v>152</v>
      </c>
      <c r="R114" s="3" t="s">
        <v>108</v>
      </c>
      <c r="S114" s="3">
        <v>3.7</v>
      </c>
      <c r="T114" s="3">
        <v>3.52</v>
      </c>
      <c r="U114" s="3">
        <v>21</v>
      </c>
      <c r="V114" s="3">
        <v>95</v>
      </c>
      <c r="W114" s="3">
        <v>4150</v>
      </c>
      <c r="X114" s="3">
        <v>28</v>
      </c>
      <c r="Y114" s="3">
        <v>33</v>
      </c>
      <c r="Z114" s="3">
        <v>16900</v>
      </c>
      <c r="AA114">
        <f t="shared" si="1"/>
        <v>15210</v>
      </c>
    </row>
    <row r="115" spans="1:27" ht="14.25" hidden="1" customHeight="1" x14ac:dyDescent="0.35">
      <c r="A115" s="3">
        <v>114</v>
      </c>
      <c r="B115" s="3">
        <v>0</v>
      </c>
      <c r="C115" s="3" t="s">
        <v>143</v>
      </c>
      <c r="D115" s="3" t="s">
        <v>27</v>
      </c>
      <c r="E115" s="3" t="s">
        <v>28</v>
      </c>
      <c r="F115" s="3" t="s">
        <v>34</v>
      </c>
      <c r="G115" s="3" t="s">
        <v>50</v>
      </c>
      <c r="H115" s="3" t="s">
        <v>31</v>
      </c>
      <c r="I115" s="3" t="s">
        <v>32</v>
      </c>
      <c r="J115" s="3">
        <v>114.2</v>
      </c>
      <c r="K115" s="3">
        <v>198.9</v>
      </c>
      <c r="L115" s="3">
        <v>68.400000000000006</v>
      </c>
      <c r="M115" s="3">
        <v>56.7</v>
      </c>
      <c r="N115" s="3">
        <v>3285</v>
      </c>
      <c r="O115" s="3" t="s">
        <v>61</v>
      </c>
      <c r="P115" s="3" t="s">
        <v>34</v>
      </c>
      <c r="Q115" s="3">
        <v>120</v>
      </c>
      <c r="R115" s="3" t="s">
        <v>35</v>
      </c>
      <c r="S115" s="3">
        <v>3.46</v>
      </c>
      <c r="T115" s="3">
        <v>2.19</v>
      </c>
      <c r="U115" s="3">
        <v>8.4</v>
      </c>
      <c r="V115" s="3">
        <v>95</v>
      </c>
      <c r="W115" s="3">
        <v>5000</v>
      </c>
      <c r="X115" s="3">
        <v>19</v>
      </c>
      <c r="Y115" s="3">
        <v>24</v>
      </c>
      <c r="Z115" s="3">
        <v>16695</v>
      </c>
      <c r="AA115">
        <f t="shared" si="1"/>
        <v>15025.5</v>
      </c>
    </row>
    <row r="116" spans="1:27" ht="14.25" customHeight="1" x14ac:dyDescent="0.35">
      <c r="A116" s="3">
        <v>115</v>
      </c>
      <c r="B116" s="3">
        <v>0</v>
      </c>
      <c r="C116" s="3" t="s">
        <v>147</v>
      </c>
      <c r="D116" s="3" t="s">
        <v>107</v>
      </c>
      <c r="E116" s="3" t="s">
        <v>52</v>
      </c>
      <c r="F116" s="3" t="s">
        <v>34</v>
      </c>
      <c r="G116" s="3" t="s">
        <v>50</v>
      </c>
      <c r="H116" s="3" t="s">
        <v>31</v>
      </c>
      <c r="I116" s="3" t="s">
        <v>32</v>
      </c>
      <c r="J116" s="3">
        <v>114.2</v>
      </c>
      <c r="K116" s="3">
        <v>198.9</v>
      </c>
      <c r="L116" s="3">
        <v>68.400000000000006</v>
      </c>
      <c r="M116" s="3">
        <v>58.7</v>
      </c>
      <c r="N116" s="3">
        <v>3485</v>
      </c>
      <c r="O116" s="3" t="s">
        <v>61</v>
      </c>
      <c r="P116" s="3" t="s">
        <v>34</v>
      </c>
      <c r="Q116" s="3">
        <v>152</v>
      </c>
      <c r="R116" s="3" t="s">
        <v>108</v>
      </c>
      <c r="S116" s="3">
        <v>3.7</v>
      </c>
      <c r="T116" s="3">
        <v>3.52</v>
      </c>
      <c r="U116" s="3">
        <v>21</v>
      </c>
      <c r="V116" s="3">
        <v>95</v>
      </c>
      <c r="W116" s="3">
        <v>4150</v>
      </c>
      <c r="X116" s="3">
        <v>25</v>
      </c>
      <c r="Y116" s="3">
        <v>25</v>
      </c>
      <c r="Z116" s="3">
        <v>17075</v>
      </c>
      <c r="AA116">
        <f t="shared" si="1"/>
        <v>15367.5</v>
      </c>
    </row>
    <row r="117" spans="1:27" ht="14.25" hidden="1" customHeight="1" x14ac:dyDescent="0.35">
      <c r="A117" s="3">
        <v>116</v>
      </c>
      <c r="B117" s="3">
        <v>0</v>
      </c>
      <c r="C117" s="3" t="s">
        <v>143</v>
      </c>
      <c r="D117" s="3" t="s">
        <v>27</v>
      </c>
      <c r="E117" s="3" t="s">
        <v>28</v>
      </c>
      <c r="F117" s="3" t="s">
        <v>34</v>
      </c>
      <c r="G117" s="3" t="s">
        <v>42</v>
      </c>
      <c r="H117" s="3" t="s">
        <v>31</v>
      </c>
      <c r="I117" s="3" t="s">
        <v>32</v>
      </c>
      <c r="J117" s="3">
        <v>107.9</v>
      </c>
      <c r="K117" s="3">
        <v>186.7</v>
      </c>
      <c r="L117" s="3">
        <v>68.400000000000006</v>
      </c>
      <c r="M117" s="3">
        <v>56.7</v>
      </c>
      <c r="N117" s="3">
        <v>3075</v>
      </c>
      <c r="O117" s="3" t="s">
        <v>61</v>
      </c>
      <c r="P117" s="3" t="s">
        <v>34</v>
      </c>
      <c r="Q117" s="3">
        <v>120</v>
      </c>
      <c r="R117" s="3" t="s">
        <v>35</v>
      </c>
      <c r="S117" s="3">
        <v>3.46</v>
      </c>
      <c r="T117" s="3">
        <v>3.19</v>
      </c>
      <c r="U117" s="3">
        <v>8.4</v>
      </c>
      <c r="V117" s="3">
        <v>97</v>
      </c>
      <c r="W117" s="3">
        <v>5000</v>
      </c>
      <c r="X117" s="3">
        <v>19</v>
      </c>
      <c r="Y117" s="3">
        <v>24</v>
      </c>
      <c r="Z117" s="3">
        <v>16630</v>
      </c>
      <c r="AA117">
        <f t="shared" si="1"/>
        <v>14967</v>
      </c>
    </row>
    <row r="118" spans="1:27" ht="14.25" customHeight="1" x14ac:dyDescent="0.35">
      <c r="A118" s="3">
        <v>117</v>
      </c>
      <c r="B118" s="3">
        <v>0</v>
      </c>
      <c r="C118" s="3" t="s">
        <v>143</v>
      </c>
      <c r="D118" s="3" t="s">
        <v>107</v>
      </c>
      <c r="E118" s="3" t="s">
        <v>52</v>
      </c>
      <c r="F118" s="3" t="s">
        <v>34</v>
      </c>
      <c r="G118" s="3" t="s">
        <v>42</v>
      </c>
      <c r="H118" s="3" t="s">
        <v>31</v>
      </c>
      <c r="I118" s="3" t="s">
        <v>32</v>
      </c>
      <c r="J118" s="3">
        <v>107.9</v>
      </c>
      <c r="K118" s="3">
        <v>186.7</v>
      </c>
      <c r="L118" s="3">
        <v>68.400000000000006</v>
      </c>
      <c r="M118" s="3">
        <v>56.7</v>
      </c>
      <c r="N118" s="3">
        <v>3252</v>
      </c>
      <c r="O118" s="3" t="s">
        <v>61</v>
      </c>
      <c r="P118" s="3" t="s">
        <v>34</v>
      </c>
      <c r="Q118" s="3">
        <v>152</v>
      </c>
      <c r="R118" s="3" t="s">
        <v>108</v>
      </c>
      <c r="S118" s="3">
        <v>3.7</v>
      </c>
      <c r="T118" s="3">
        <v>3.52</v>
      </c>
      <c r="U118" s="3">
        <v>21</v>
      </c>
      <c r="V118" s="3">
        <v>95</v>
      </c>
      <c r="W118" s="3">
        <v>4150</v>
      </c>
      <c r="X118" s="3">
        <v>28</v>
      </c>
      <c r="Y118" s="3">
        <v>33</v>
      </c>
      <c r="Z118" s="3">
        <v>17950</v>
      </c>
      <c r="AA118">
        <f t="shared" si="1"/>
        <v>16155</v>
      </c>
    </row>
    <row r="119" spans="1:27" ht="14.25" hidden="1" customHeight="1" x14ac:dyDescent="0.35">
      <c r="A119" s="3">
        <v>118</v>
      </c>
      <c r="B119" s="3">
        <v>0</v>
      </c>
      <c r="C119" s="3" t="s">
        <v>146</v>
      </c>
      <c r="D119" s="3" t="s">
        <v>27</v>
      </c>
      <c r="E119" s="3" t="s">
        <v>52</v>
      </c>
      <c r="F119" s="3" t="s">
        <v>34</v>
      </c>
      <c r="G119" s="3" t="s">
        <v>42</v>
      </c>
      <c r="H119" s="3" t="s">
        <v>31</v>
      </c>
      <c r="I119" s="3" t="s">
        <v>32</v>
      </c>
      <c r="J119" s="3">
        <v>108</v>
      </c>
      <c r="K119" s="3">
        <v>186.7</v>
      </c>
      <c r="L119" s="3">
        <v>68.3</v>
      </c>
      <c r="M119" s="3">
        <v>56</v>
      </c>
      <c r="N119" s="3">
        <v>3130</v>
      </c>
      <c r="O119" s="3" t="s">
        <v>61</v>
      </c>
      <c r="P119" s="3" t="s">
        <v>34</v>
      </c>
      <c r="Q119" s="3">
        <v>134</v>
      </c>
      <c r="R119" s="3" t="s">
        <v>35</v>
      </c>
      <c r="S119" s="3">
        <v>3.61</v>
      </c>
      <c r="T119" s="3">
        <v>3.21</v>
      </c>
      <c r="U119" s="3">
        <v>7</v>
      </c>
      <c r="V119" s="3">
        <v>142</v>
      </c>
      <c r="W119" s="3">
        <v>5600</v>
      </c>
      <c r="X119" s="3">
        <v>18</v>
      </c>
      <c r="Y119" s="3">
        <v>24</v>
      </c>
      <c r="Z119" s="3">
        <v>18150</v>
      </c>
      <c r="AA119">
        <f t="shared" si="1"/>
        <v>16335</v>
      </c>
    </row>
    <row r="120" spans="1:27" ht="14.25" hidden="1" customHeight="1" x14ac:dyDescent="0.35">
      <c r="A120" s="3">
        <v>119</v>
      </c>
      <c r="B120" s="3">
        <v>1</v>
      </c>
      <c r="C120" s="3" t="s">
        <v>148</v>
      </c>
      <c r="D120" s="3" t="s">
        <v>27</v>
      </c>
      <c r="E120" s="3" t="s">
        <v>28</v>
      </c>
      <c r="F120" s="3" t="s">
        <v>29</v>
      </c>
      <c r="G120" s="3" t="s">
        <v>38</v>
      </c>
      <c r="H120" s="3" t="s">
        <v>43</v>
      </c>
      <c r="I120" s="3" t="s">
        <v>32</v>
      </c>
      <c r="J120" s="3">
        <v>93.7</v>
      </c>
      <c r="K120" s="3">
        <v>157.30000000000001</v>
      </c>
      <c r="L120" s="3">
        <v>63.8</v>
      </c>
      <c r="M120" s="3">
        <v>50.8</v>
      </c>
      <c r="N120" s="3">
        <v>1918</v>
      </c>
      <c r="O120" s="3" t="s">
        <v>44</v>
      </c>
      <c r="P120" s="3" t="s">
        <v>34</v>
      </c>
      <c r="Q120" s="3">
        <v>90</v>
      </c>
      <c r="R120" s="3" t="s">
        <v>63</v>
      </c>
      <c r="S120" s="3">
        <v>2.97</v>
      </c>
      <c r="T120" s="3">
        <v>3.23</v>
      </c>
      <c r="U120" s="3">
        <v>9.4</v>
      </c>
      <c r="V120" s="3">
        <v>68</v>
      </c>
      <c r="W120" s="3">
        <v>5500</v>
      </c>
      <c r="X120" s="3">
        <v>37</v>
      </c>
      <c r="Y120" s="3">
        <v>41</v>
      </c>
      <c r="Z120" s="3">
        <v>5572</v>
      </c>
      <c r="AA120">
        <f t="shared" si="1"/>
        <v>5014.8</v>
      </c>
    </row>
    <row r="121" spans="1:27" ht="14.25" hidden="1" customHeight="1" x14ac:dyDescent="0.35">
      <c r="A121" s="3">
        <v>120</v>
      </c>
      <c r="B121" s="3">
        <v>1</v>
      </c>
      <c r="C121" s="3" t="s">
        <v>149</v>
      </c>
      <c r="D121" s="3" t="s">
        <v>27</v>
      </c>
      <c r="E121" s="3" t="s">
        <v>52</v>
      </c>
      <c r="F121" s="3" t="s">
        <v>29</v>
      </c>
      <c r="G121" s="3" t="s">
        <v>38</v>
      </c>
      <c r="H121" s="3" t="s">
        <v>43</v>
      </c>
      <c r="I121" s="3" t="s">
        <v>32</v>
      </c>
      <c r="J121" s="3">
        <v>93.7</v>
      </c>
      <c r="K121" s="3">
        <v>157.30000000000001</v>
      </c>
      <c r="L121" s="3">
        <v>63.8</v>
      </c>
      <c r="M121" s="3">
        <v>50.8</v>
      </c>
      <c r="N121" s="3">
        <v>2128</v>
      </c>
      <c r="O121" s="3" t="s">
        <v>44</v>
      </c>
      <c r="P121" s="3" t="s">
        <v>34</v>
      </c>
      <c r="Q121" s="3">
        <v>98</v>
      </c>
      <c r="R121" s="3" t="s">
        <v>124</v>
      </c>
      <c r="S121" s="3">
        <v>3.03</v>
      </c>
      <c r="T121" s="3">
        <v>3.39</v>
      </c>
      <c r="U121" s="3">
        <v>7.6</v>
      </c>
      <c r="V121" s="3">
        <v>102</v>
      </c>
      <c r="W121" s="3">
        <v>5500</v>
      </c>
      <c r="X121" s="3">
        <v>24</v>
      </c>
      <c r="Y121" s="3">
        <v>30</v>
      </c>
      <c r="Z121" s="3">
        <v>7957</v>
      </c>
      <c r="AA121">
        <f t="shared" si="1"/>
        <v>7161.3</v>
      </c>
    </row>
    <row r="122" spans="1:27" ht="14.25" hidden="1" customHeight="1" x14ac:dyDescent="0.35">
      <c r="A122" s="3">
        <v>121</v>
      </c>
      <c r="B122" s="3">
        <v>1</v>
      </c>
      <c r="C122" s="3" t="s">
        <v>148</v>
      </c>
      <c r="D122" s="3" t="s">
        <v>27</v>
      </c>
      <c r="E122" s="3" t="s">
        <v>28</v>
      </c>
      <c r="F122" s="3" t="s">
        <v>34</v>
      </c>
      <c r="G122" s="3" t="s">
        <v>38</v>
      </c>
      <c r="H122" s="3" t="s">
        <v>43</v>
      </c>
      <c r="I122" s="3" t="s">
        <v>32</v>
      </c>
      <c r="J122" s="3">
        <v>93.7</v>
      </c>
      <c r="K122" s="3">
        <v>157.30000000000001</v>
      </c>
      <c r="L122" s="3">
        <v>63.8</v>
      </c>
      <c r="M122" s="3">
        <v>50.6</v>
      </c>
      <c r="N122" s="3">
        <v>1967</v>
      </c>
      <c r="O122" s="3" t="s">
        <v>44</v>
      </c>
      <c r="P122" s="3" t="s">
        <v>34</v>
      </c>
      <c r="Q122" s="3">
        <v>90</v>
      </c>
      <c r="R122" s="3" t="s">
        <v>63</v>
      </c>
      <c r="S122" s="3">
        <v>2.97</v>
      </c>
      <c r="T122" s="3">
        <v>3.23</v>
      </c>
      <c r="U122" s="3">
        <v>9.4</v>
      </c>
      <c r="V122" s="3">
        <v>68</v>
      </c>
      <c r="W122" s="3">
        <v>5500</v>
      </c>
      <c r="X122" s="3">
        <v>31</v>
      </c>
      <c r="Y122" s="3">
        <v>38</v>
      </c>
      <c r="Z122" s="3">
        <v>6229</v>
      </c>
      <c r="AA122">
        <f t="shared" si="1"/>
        <v>5606.1</v>
      </c>
    </row>
    <row r="123" spans="1:27" ht="14.25" hidden="1" customHeight="1" x14ac:dyDescent="0.35">
      <c r="A123" s="3">
        <v>122</v>
      </c>
      <c r="B123" s="3">
        <v>1</v>
      </c>
      <c r="C123" s="3" t="s">
        <v>150</v>
      </c>
      <c r="D123" s="3" t="s">
        <v>27</v>
      </c>
      <c r="E123" s="3" t="s">
        <v>28</v>
      </c>
      <c r="F123" s="3" t="s">
        <v>34</v>
      </c>
      <c r="G123" s="3" t="s">
        <v>42</v>
      </c>
      <c r="H123" s="3" t="s">
        <v>43</v>
      </c>
      <c r="I123" s="3" t="s">
        <v>32</v>
      </c>
      <c r="J123" s="3">
        <v>93.7</v>
      </c>
      <c r="K123" s="3">
        <v>167.3</v>
      </c>
      <c r="L123" s="3">
        <v>63.8</v>
      </c>
      <c r="M123" s="3">
        <v>50.8</v>
      </c>
      <c r="N123" s="3">
        <v>1989</v>
      </c>
      <c r="O123" s="3" t="s">
        <v>44</v>
      </c>
      <c r="P123" s="3" t="s">
        <v>34</v>
      </c>
      <c r="Q123" s="3">
        <v>90</v>
      </c>
      <c r="R123" s="3" t="s">
        <v>63</v>
      </c>
      <c r="S123" s="3">
        <v>2.97</v>
      </c>
      <c r="T123" s="3">
        <v>3.23</v>
      </c>
      <c r="U123" s="3">
        <v>9.4</v>
      </c>
      <c r="V123" s="3">
        <v>68</v>
      </c>
      <c r="W123" s="3">
        <v>5500</v>
      </c>
      <c r="X123" s="3">
        <v>31</v>
      </c>
      <c r="Y123" s="3">
        <v>38</v>
      </c>
      <c r="Z123" s="3">
        <v>6692</v>
      </c>
      <c r="AA123">
        <f t="shared" si="1"/>
        <v>6022.8</v>
      </c>
    </row>
    <row r="124" spans="1:27" ht="14.25" hidden="1" customHeight="1" x14ac:dyDescent="0.35">
      <c r="A124" s="3">
        <v>123</v>
      </c>
      <c r="B124" s="3">
        <v>1</v>
      </c>
      <c r="C124" s="3" t="s">
        <v>151</v>
      </c>
      <c r="D124" s="3" t="s">
        <v>27</v>
      </c>
      <c r="E124" s="3" t="s">
        <v>28</v>
      </c>
      <c r="F124" s="3" t="s">
        <v>34</v>
      </c>
      <c r="G124" s="3" t="s">
        <v>42</v>
      </c>
      <c r="H124" s="3" t="s">
        <v>43</v>
      </c>
      <c r="I124" s="3" t="s">
        <v>32</v>
      </c>
      <c r="J124" s="3">
        <v>93.7</v>
      </c>
      <c r="K124" s="3">
        <v>167.3</v>
      </c>
      <c r="L124" s="3">
        <v>63.8</v>
      </c>
      <c r="M124" s="3">
        <v>50.8</v>
      </c>
      <c r="N124" s="3">
        <v>2191</v>
      </c>
      <c r="O124" s="3" t="s">
        <v>44</v>
      </c>
      <c r="P124" s="3" t="s">
        <v>34</v>
      </c>
      <c r="Q124" s="3">
        <v>98</v>
      </c>
      <c r="R124" s="3" t="s">
        <v>63</v>
      </c>
      <c r="S124" s="3">
        <v>2.97</v>
      </c>
      <c r="T124" s="3">
        <v>3.23</v>
      </c>
      <c r="U124" s="3">
        <v>9.4</v>
      </c>
      <c r="V124" s="3">
        <v>68</v>
      </c>
      <c r="W124" s="3">
        <v>5500</v>
      </c>
      <c r="X124" s="3">
        <v>31</v>
      </c>
      <c r="Y124" s="3">
        <v>38</v>
      </c>
      <c r="Z124" s="3">
        <v>7609</v>
      </c>
      <c r="AA124">
        <f t="shared" si="1"/>
        <v>6848.1</v>
      </c>
    </row>
    <row r="125" spans="1:27" ht="14.25" hidden="1" customHeight="1" x14ac:dyDescent="0.35">
      <c r="A125" s="3">
        <v>124</v>
      </c>
      <c r="B125" s="3">
        <v>-1</v>
      </c>
      <c r="C125" s="3" t="s">
        <v>152</v>
      </c>
      <c r="D125" s="3" t="s">
        <v>27</v>
      </c>
      <c r="E125" s="3" t="s">
        <v>28</v>
      </c>
      <c r="F125" s="3" t="s">
        <v>34</v>
      </c>
      <c r="G125" s="3" t="s">
        <v>50</v>
      </c>
      <c r="H125" s="3" t="s">
        <v>43</v>
      </c>
      <c r="I125" s="3" t="s">
        <v>32</v>
      </c>
      <c r="J125" s="3">
        <v>103.3</v>
      </c>
      <c r="K125" s="3">
        <v>174.6</v>
      </c>
      <c r="L125" s="3">
        <v>64.599999999999994</v>
      </c>
      <c r="M125" s="3">
        <v>59.8</v>
      </c>
      <c r="N125" s="3">
        <v>2535</v>
      </c>
      <c r="O125" s="3" t="s">
        <v>44</v>
      </c>
      <c r="P125" s="3" t="s">
        <v>34</v>
      </c>
      <c r="Q125" s="3">
        <v>122</v>
      </c>
      <c r="R125" s="3" t="s">
        <v>63</v>
      </c>
      <c r="S125" s="3">
        <v>3.35</v>
      </c>
      <c r="T125" s="3">
        <v>3.46</v>
      </c>
      <c r="U125" s="3">
        <v>8.5</v>
      </c>
      <c r="V125" s="3">
        <v>88</v>
      </c>
      <c r="W125" s="3">
        <v>5000</v>
      </c>
      <c r="X125" s="3">
        <v>24</v>
      </c>
      <c r="Y125" s="3">
        <v>30</v>
      </c>
      <c r="Z125" s="3">
        <v>8921</v>
      </c>
      <c r="AA125">
        <f t="shared" si="1"/>
        <v>8028.9000000000005</v>
      </c>
    </row>
    <row r="126" spans="1:27" ht="14.25" hidden="1" customHeight="1" x14ac:dyDescent="0.35">
      <c r="A126" s="3">
        <v>125</v>
      </c>
      <c r="B126" s="3">
        <v>3</v>
      </c>
      <c r="C126" s="3" t="s">
        <v>153</v>
      </c>
      <c r="D126" s="3" t="s">
        <v>27</v>
      </c>
      <c r="E126" s="3" t="s">
        <v>52</v>
      </c>
      <c r="F126" s="3" t="s">
        <v>29</v>
      </c>
      <c r="G126" s="3" t="s">
        <v>38</v>
      </c>
      <c r="H126" s="3" t="s">
        <v>31</v>
      </c>
      <c r="I126" s="3" t="s">
        <v>32</v>
      </c>
      <c r="J126" s="3">
        <v>95.9</v>
      </c>
      <c r="K126" s="3">
        <v>173.2</v>
      </c>
      <c r="L126" s="3">
        <v>66.3</v>
      </c>
      <c r="M126" s="3">
        <v>50.2</v>
      </c>
      <c r="N126" s="3">
        <v>2818</v>
      </c>
      <c r="O126" s="3" t="s">
        <v>44</v>
      </c>
      <c r="P126" s="3" t="s">
        <v>34</v>
      </c>
      <c r="Q126" s="3">
        <v>156</v>
      </c>
      <c r="R126" s="3" t="s">
        <v>124</v>
      </c>
      <c r="S126" s="3">
        <v>3.59</v>
      </c>
      <c r="T126" s="3">
        <v>3.86</v>
      </c>
      <c r="U126" s="3">
        <v>7</v>
      </c>
      <c r="V126" s="3">
        <v>145</v>
      </c>
      <c r="W126" s="3">
        <v>5000</v>
      </c>
      <c r="X126" s="3">
        <v>19</v>
      </c>
      <c r="Y126" s="3">
        <v>24</v>
      </c>
      <c r="Z126" s="3">
        <v>12764</v>
      </c>
      <c r="AA126">
        <f t="shared" si="1"/>
        <v>11487.6</v>
      </c>
    </row>
    <row r="127" spans="1:27" ht="14.25" hidden="1" customHeight="1" x14ac:dyDescent="0.35">
      <c r="A127" s="3">
        <v>126</v>
      </c>
      <c r="B127" s="3">
        <v>3</v>
      </c>
      <c r="C127" s="3" t="s">
        <v>154</v>
      </c>
      <c r="D127" s="3" t="s">
        <v>27</v>
      </c>
      <c r="E127" s="3" t="s">
        <v>28</v>
      </c>
      <c r="F127" s="3" t="s">
        <v>29</v>
      </c>
      <c r="G127" s="3" t="s">
        <v>38</v>
      </c>
      <c r="H127" s="3" t="s">
        <v>31</v>
      </c>
      <c r="I127" s="3" t="s">
        <v>32</v>
      </c>
      <c r="J127" s="3">
        <v>94.5</v>
      </c>
      <c r="K127" s="3">
        <v>168.9</v>
      </c>
      <c r="L127" s="3">
        <v>68.3</v>
      </c>
      <c r="M127" s="3">
        <v>50.2</v>
      </c>
      <c r="N127" s="3">
        <v>2778</v>
      </c>
      <c r="O127" s="3" t="s">
        <v>44</v>
      </c>
      <c r="P127" s="3" t="s">
        <v>34</v>
      </c>
      <c r="Q127" s="3">
        <v>151</v>
      </c>
      <c r="R127" s="3" t="s">
        <v>35</v>
      </c>
      <c r="S127" s="3">
        <v>3.94</v>
      </c>
      <c r="T127" s="3">
        <v>3.11</v>
      </c>
      <c r="U127" s="3">
        <v>9.5</v>
      </c>
      <c r="V127" s="3">
        <v>143</v>
      </c>
      <c r="W127" s="3">
        <v>5500</v>
      </c>
      <c r="X127" s="3">
        <v>19</v>
      </c>
      <c r="Y127" s="3">
        <v>27</v>
      </c>
      <c r="Z127" s="3">
        <v>22018</v>
      </c>
      <c r="AA127">
        <f t="shared" si="1"/>
        <v>19816.2</v>
      </c>
    </row>
    <row r="128" spans="1:27" ht="14.25" hidden="1" customHeight="1" x14ac:dyDescent="0.35">
      <c r="A128" s="3">
        <v>127</v>
      </c>
      <c r="B128" s="3">
        <v>3</v>
      </c>
      <c r="C128" s="3" t="s">
        <v>155</v>
      </c>
      <c r="D128" s="3" t="s">
        <v>27</v>
      </c>
      <c r="E128" s="3" t="s">
        <v>28</v>
      </c>
      <c r="F128" s="3" t="s">
        <v>29</v>
      </c>
      <c r="G128" s="3" t="s">
        <v>112</v>
      </c>
      <c r="H128" s="3" t="s">
        <v>31</v>
      </c>
      <c r="I128" s="3" t="s">
        <v>156</v>
      </c>
      <c r="J128" s="3">
        <v>89.5</v>
      </c>
      <c r="K128" s="3">
        <v>168.9</v>
      </c>
      <c r="L128" s="3">
        <v>65</v>
      </c>
      <c r="M128" s="3">
        <v>51.6</v>
      </c>
      <c r="N128" s="3">
        <v>2756</v>
      </c>
      <c r="O128" s="3" t="s">
        <v>157</v>
      </c>
      <c r="P128" s="3" t="s">
        <v>40</v>
      </c>
      <c r="Q128" s="3">
        <v>194</v>
      </c>
      <c r="R128" s="3" t="s">
        <v>35</v>
      </c>
      <c r="S128" s="3">
        <v>3.74</v>
      </c>
      <c r="T128" s="3">
        <v>2.9</v>
      </c>
      <c r="U128" s="3">
        <v>9.5</v>
      </c>
      <c r="V128" s="3">
        <v>207</v>
      </c>
      <c r="W128" s="3">
        <v>5900</v>
      </c>
      <c r="X128" s="3">
        <v>17</v>
      </c>
      <c r="Y128" s="3">
        <v>25</v>
      </c>
      <c r="Z128" s="3">
        <v>32528</v>
      </c>
      <c r="AA128">
        <f t="shared" si="1"/>
        <v>29275.200000000001</v>
      </c>
    </row>
    <row r="129" spans="1:27" ht="14.25" hidden="1" customHeight="1" x14ac:dyDescent="0.35">
      <c r="A129" s="3">
        <v>128</v>
      </c>
      <c r="B129" s="3">
        <v>3</v>
      </c>
      <c r="C129" s="3" t="s">
        <v>158</v>
      </c>
      <c r="D129" s="3" t="s">
        <v>27</v>
      </c>
      <c r="E129" s="3" t="s">
        <v>28</v>
      </c>
      <c r="F129" s="3" t="s">
        <v>29</v>
      </c>
      <c r="G129" s="3" t="s">
        <v>112</v>
      </c>
      <c r="H129" s="3" t="s">
        <v>31</v>
      </c>
      <c r="I129" s="3" t="s">
        <v>156</v>
      </c>
      <c r="J129" s="3">
        <v>89.5</v>
      </c>
      <c r="K129" s="3">
        <v>168.9</v>
      </c>
      <c r="L129" s="3">
        <v>65</v>
      </c>
      <c r="M129" s="3">
        <v>51.6</v>
      </c>
      <c r="N129" s="3">
        <v>2756</v>
      </c>
      <c r="O129" s="3" t="s">
        <v>157</v>
      </c>
      <c r="P129" s="3" t="s">
        <v>40</v>
      </c>
      <c r="Q129" s="3">
        <v>194</v>
      </c>
      <c r="R129" s="3" t="s">
        <v>35</v>
      </c>
      <c r="S129" s="3">
        <v>3.74</v>
      </c>
      <c r="T129" s="3">
        <v>2.9</v>
      </c>
      <c r="U129" s="3">
        <v>9.5</v>
      </c>
      <c r="V129" s="3">
        <v>207</v>
      </c>
      <c r="W129" s="3">
        <v>5900</v>
      </c>
      <c r="X129" s="3">
        <v>17</v>
      </c>
      <c r="Y129" s="3">
        <v>25</v>
      </c>
      <c r="Z129" s="3">
        <v>34028</v>
      </c>
      <c r="AA129">
        <f t="shared" si="1"/>
        <v>30625.200000000001</v>
      </c>
    </row>
    <row r="130" spans="1:27" ht="14.25" hidden="1" customHeight="1" x14ac:dyDescent="0.35">
      <c r="A130" s="3">
        <v>129</v>
      </c>
      <c r="B130" s="3">
        <v>3</v>
      </c>
      <c r="C130" s="3" t="s">
        <v>159</v>
      </c>
      <c r="D130" s="3" t="s">
        <v>27</v>
      </c>
      <c r="E130" s="3" t="s">
        <v>28</v>
      </c>
      <c r="F130" s="3" t="s">
        <v>29</v>
      </c>
      <c r="G130" s="3" t="s">
        <v>30</v>
      </c>
      <c r="H130" s="3" t="s">
        <v>31</v>
      </c>
      <c r="I130" s="3" t="s">
        <v>156</v>
      </c>
      <c r="J130" s="3">
        <v>89.5</v>
      </c>
      <c r="K130" s="3">
        <v>168.9</v>
      </c>
      <c r="L130" s="3">
        <v>65</v>
      </c>
      <c r="M130" s="3">
        <v>51.6</v>
      </c>
      <c r="N130" s="3">
        <v>2800</v>
      </c>
      <c r="O130" s="3" t="s">
        <v>157</v>
      </c>
      <c r="P130" s="3" t="s">
        <v>40</v>
      </c>
      <c r="Q130" s="3">
        <v>194</v>
      </c>
      <c r="R130" s="3" t="s">
        <v>35</v>
      </c>
      <c r="S130" s="3">
        <v>3.74</v>
      </c>
      <c r="T130" s="3">
        <v>2.9</v>
      </c>
      <c r="U130" s="3">
        <v>9.5</v>
      </c>
      <c r="V130" s="3">
        <v>207</v>
      </c>
      <c r="W130" s="3">
        <v>5900</v>
      </c>
      <c r="X130" s="3">
        <v>17</v>
      </c>
      <c r="Y130" s="3">
        <v>25</v>
      </c>
      <c r="Z130" s="3">
        <v>37028</v>
      </c>
      <c r="AA130">
        <f t="shared" si="1"/>
        <v>33325.200000000004</v>
      </c>
    </row>
    <row r="131" spans="1:27" ht="14.25" hidden="1" customHeight="1" x14ac:dyDescent="0.35">
      <c r="A131" s="3">
        <v>130</v>
      </c>
      <c r="B131" s="3">
        <v>1</v>
      </c>
      <c r="C131" s="3" t="s">
        <v>158</v>
      </c>
      <c r="D131" s="3" t="s">
        <v>27</v>
      </c>
      <c r="E131" s="3" t="s">
        <v>28</v>
      </c>
      <c r="F131" s="3" t="s">
        <v>29</v>
      </c>
      <c r="G131" s="3" t="s">
        <v>38</v>
      </c>
      <c r="H131" s="3" t="s">
        <v>31</v>
      </c>
      <c r="I131" s="3" t="s">
        <v>32</v>
      </c>
      <c r="J131" s="3">
        <v>98.4</v>
      </c>
      <c r="K131" s="3">
        <v>175.7</v>
      </c>
      <c r="L131" s="3">
        <v>72.3</v>
      </c>
      <c r="M131" s="3">
        <v>50.5</v>
      </c>
      <c r="N131" s="3">
        <v>3366</v>
      </c>
      <c r="O131" s="3" t="s">
        <v>160</v>
      </c>
      <c r="P131" s="3" t="s">
        <v>115</v>
      </c>
      <c r="Q131" s="3">
        <v>203</v>
      </c>
      <c r="R131" s="3" t="s">
        <v>35</v>
      </c>
      <c r="S131" s="3">
        <v>3.94</v>
      </c>
      <c r="T131" s="3">
        <v>3.11</v>
      </c>
      <c r="U131" s="3">
        <v>10</v>
      </c>
      <c r="V131" s="3">
        <v>288</v>
      </c>
      <c r="W131" s="3">
        <v>5750</v>
      </c>
      <c r="X131" s="3">
        <v>17</v>
      </c>
      <c r="Y131" s="3">
        <v>28</v>
      </c>
      <c r="Z131" s="3">
        <v>31400.5</v>
      </c>
      <c r="AA131">
        <f t="shared" si="1"/>
        <v>28260.45</v>
      </c>
    </row>
    <row r="132" spans="1:27" ht="14.25" hidden="1" customHeight="1" x14ac:dyDescent="0.35">
      <c r="A132" s="3">
        <v>131</v>
      </c>
      <c r="B132" s="3">
        <v>0</v>
      </c>
      <c r="C132" s="3" t="s">
        <v>161</v>
      </c>
      <c r="D132" s="3" t="s">
        <v>27</v>
      </c>
      <c r="E132" s="3" t="s">
        <v>28</v>
      </c>
      <c r="F132" s="3" t="s">
        <v>34</v>
      </c>
      <c r="G132" s="3" t="s">
        <v>50</v>
      </c>
      <c r="H132" s="3" t="s">
        <v>43</v>
      </c>
      <c r="I132" s="3" t="s">
        <v>32</v>
      </c>
      <c r="J132" s="3">
        <v>96.1</v>
      </c>
      <c r="K132" s="3">
        <v>181.5</v>
      </c>
      <c r="L132" s="3">
        <v>66.5</v>
      </c>
      <c r="M132" s="3">
        <v>55.2</v>
      </c>
      <c r="N132" s="3">
        <v>2579</v>
      </c>
      <c r="O132" s="3" t="s">
        <v>44</v>
      </c>
      <c r="P132" s="3" t="s">
        <v>34</v>
      </c>
      <c r="Q132" s="3">
        <v>132</v>
      </c>
      <c r="R132" s="3" t="s">
        <v>35</v>
      </c>
      <c r="S132" s="3">
        <v>3.46</v>
      </c>
      <c r="T132" s="3">
        <v>3.9</v>
      </c>
      <c r="U132" s="3">
        <v>8.6999999999999993</v>
      </c>
      <c r="V132" s="3">
        <v>90</v>
      </c>
      <c r="W132" s="3">
        <v>5100</v>
      </c>
      <c r="X132" s="3">
        <v>23</v>
      </c>
      <c r="Y132" s="3">
        <v>31</v>
      </c>
      <c r="Z132" s="3">
        <v>9295</v>
      </c>
      <c r="AA132">
        <f t="shared" si="1"/>
        <v>8365.5</v>
      </c>
    </row>
    <row r="133" spans="1:27" ht="14.25" hidden="1" customHeight="1" x14ac:dyDescent="0.35">
      <c r="A133" s="3">
        <v>132</v>
      </c>
      <c r="B133" s="3">
        <v>2</v>
      </c>
      <c r="C133" s="3" t="s">
        <v>162</v>
      </c>
      <c r="D133" s="3" t="s">
        <v>27</v>
      </c>
      <c r="E133" s="3" t="s">
        <v>28</v>
      </c>
      <c r="F133" s="3" t="s">
        <v>29</v>
      </c>
      <c r="G133" s="3" t="s">
        <v>38</v>
      </c>
      <c r="H133" s="3" t="s">
        <v>43</v>
      </c>
      <c r="I133" s="3" t="s">
        <v>32</v>
      </c>
      <c r="J133" s="3">
        <v>96.1</v>
      </c>
      <c r="K133" s="3">
        <v>176.8</v>
      </c>
      <c r="L133" s="3">
        <v>66.599999999999994</v>
      </c>
      <c r="M133" s="3">
        <v>50.5</v>
      </c>
      <c r="N133" s="3">
        <v>2460</v>
      </c>
      <c r="O133" s="3" t="s">
        <v>44</v>
      </c>
      <c r="P133" s="3" t="s">
        <v>34</v>
      </c>
      <c r="Q133" s="3">
        <v>132</v>
      </c>
      <c r="R133" s="3" t="s">
        <v>35</v>
      </c>
      <c r="S133" s="3">
        <v>3.46</v>
      </c>
      <c r="T133" s="3">
        <v>3.9</v>
      </c>
      <c r="U133" s="3">
        <v>8.6999999999999993</v>
      </c>
      <c r="V133" s="3">
        <v>90</v>
      </c>
      <c r="W133" s="3">
        <v>5100</v>
      </c>
      <c r="X133" s="3">
        <v>23</v>
      </c>
      <c r="Y133" s="3">
        <v>31</v>
      </c>
      <c r="Z133" s="3">
        <v>9895</v>
      </c>
      <c r="AA133">
        <f t="shared" ref="AA133:AA196" si="2">Z133*0.9</f>
        <v>8905.5</v>
      </c>
    </row>
    <row r="134" spans="1:27" ht="14.25" hidden="1" customHeight="1" x14ac:dyDescent="0.35">
      <c r="A134" s="3">
        <v>133</v>
      </c>
      <c r="B134" s="3">
        <v>3</v>
      </c>
      <c r="C134" s="3" t="s">
        <v>163</v>
      </c>
      <c r="D134" s="3" t="s">
        <v>27</v>
      </c>
      <c r="E134" s="3" t="s">
        <v>28</v>
      </c>
      <c r="F134" s="3" t="s">
        <v>29</v>
      </c>
      <c r="G134" s="3" t="s">
        <v>38</v>
      </c>
      <c r="H134" s="3" t="s">
        <v>43</v>
      </c>
      <c r="I134" s="3" t="s">
        <v>32</v>
      </c>
      <c r="J134" s="3">
        <v>99.1</v>
      </c>
      <c r="K134" s="3">
        <v>186.6</v>
      </c>
      <c r="L134" s="3">
        <v>66.5</v>
      </c>
      <c r="M134" s="3">
        <v>56.1</v>
      </c>
      <c r="N134" s="3">
        <v>2658</v>
      </c>
      <c r="O134" s="3" t="s">
        <v>44</v>
      </c>
      <c r="P134" s="3" t="s">
        <v>34</v>
      </c>
      <c r="Q134" s="3">
        <v>121</v>
      </c>
      <c r="R134" s="3" t="s">
        <v>35</v>
      </c>
      <c r="S134" s="3">
        <v>3.54</v>
      </c>
      <c r="T134" s="3">
        <v>3.07</v>
      </c>
      <c r="U134" s="3">
        <v>9.31</v>
      </c>
      <c r="V134" s="3">
        <v>110</v>
      </c>
      <c r="W134" s="3">
        <v>5250</v>
      </c>
      <c r="X134" s="3">
        <v>21</v>
      </c>
      <c r="Y134" s="3">
        <v>28</v>
      </c>
      <c r="Z134" s="3">
        <v>11850</v>
      </c>
      <c r="AA134">
        <f t="shared" si="2"/>
        <v>10665</v>
      </c>
    </row>
    <row r="135" spans="1:27" ht="14.25" hidden="1" customHeight="1" x14ac:dyDescent="0.35">
      <c r="A135" s="3">
        <v>134</v>
      </c>
      <c r="B135" s="3">
        <v>2</v>
      </c>
      <c r="C135" s="3" t="s">
        <v>164</v>
      </c>
      <c r="D135" s="3" t="s">
        <v>27</v>
      </c>
      <c r="E135" s="3" t="s">
        <v>28</v>
      </c>
      <c r="F135" s="3" t="s">
        <v>34</v>
      </c>
      <c r="G135" s="3" t="s">
        <v>42</v>
      </c>
      <c r="H135" s="3" t="s">
        <v>43</v>
      </c>
      <c r="I135" s="3" t="s">
        <v>32</v>
      </c>
      <c r="J135" s="3">
        <v>99.1</v>
      </c>
      <c r="K135" s="3">
        <v>186.6</v>
      </c>
      <c r="L135" s="3">
        <v>66.5</v>
      </c>
      <c r="M135" s="3">
        <v>56.1</v>
      </c>
      <c r="N135" s="3">
        <v>2695</v>
      </c>
      <c r="O135" s="3" t="s">
        <v>44</v>
      </c>
      <c r="P135" s="3" t="s">
        <v>34</v>
      </c>
      <c r="Q135" s="3">
        <v>121</v>
      </c>
      <c r="R135" s="3" t="s">
        <v>35</v>
      </c>
      <c r="S135" s="3">
        <v>3.54</v>
      </c>
      <c r="T135" s="3">
        <v>3.07</v>
      </c>
      <c r="U135" s="3">
        <v>9.3000000000000007</v>
      </c>
      <c r="V135" s="3">
        <v>110</v>
      </c>
      <c r="W135" s="3">
        <v>5250</v>
      </c>
      <c r="X135" s="3">
        <v>21</v>
      </c>
      <c r="Y135" s="3">
        <v>28</v>
      </c>
      <c r="Z135" s="3">
        <v>12170</v>
      </c>
      <c r="AA135">
        <f t="shared" si="2"/>
        <v>10953</v>
      </c>
    </row>
    <row r="136" spans="1:27" ht="14.25" hidden="1" customHeight="1" x14ac:dyDescent="0.35">
      <c r="A136" s="3">
        <v>135</v>
      </c>
      <c r="B136" s="3">
        <v>3</v>
      </c>
      <c r="C136" s="3" t="s">
        <v>164</v>
      </c>
      <c r="D136" s="3" t="s">
        <v>27</v>
      </c>
      <c r="E136" s="3" t="s">
        <v>28</v>
      </c>
      <c r="F136" s="3" t="s">
        <v>29</v>
      </c>
      <c r="G136" s="3" t="s">
        <v>38</v>
      </c>
      <c r="H136" s="3" t="s">
        <v>43</v>
      </c>
      <c r="I136" s="3" t="s">
        <v>32</v>
      </c>
      <c r="J136" s="3">
        <v>99.1</v>
      </c>
      <c r="K136" s="3">
        <v>186.6</v>
      </c>
      <c r="L136" s="3">
        <v>66.5</v>
      </c>
      <c r="M136" s="3">
        <v>56.1</v>
      </c>
      <c r="N136" s="3">
        <v>2707</v>
      </c>
      <c r="O136" s="3" t="s">
        <v>44</v>
      </c>
      <c r="P136" s="3" t="s">
        <v>34</v>
      </c>
      <c r="Q136" s="3">
        <v>121</v>
      </c>
      <c r="R136" s="3" t="s">
        <v>35</v>
      </c>
      <c r="S136" s="3">
        <v>2.54</v>
      </c>
      <c r="T136" s="3">
        <v>2.0699999999999998</v>
      </c>
      <c r="U136" s="3">
        <v>9.3000000000000007</v>
      </c>
      <c r="V136" s="3">
        <v>110</v>
      </c>
      <c r="W136" s="3">
        <v>5250</v>
      </c>
      <c r="X136" s="3">
        <v>21</v>
      </c>
      <c r="Y136" s="3">
        <v>28</v>
      </c>
      <c r="Z136" s="3">
        <v>15040</v>
      </c>
      <c r="AA136">
        <f t="shared" si="2"/>
        <v>13536</v>
      </c>
    </row>
    <row r="137" spans="1:27" ht="14.25" hidden="1" customHeight="1" x14ac:dyDescent="0.35">
      <c r="A137" s="3">
        <v>136</v>
      </c>
      <c r="B137" s="3">
        <v>2</v>
      </c>
      <c r="C137" s="3" t="s">
        <v>165</v>
      </c>
      <c r="D137" s="3" t="s">
        <v>27</v>
      </c>
      <c r="E137" s="3" t="s">
        <v>28</v>
      </c>
      <c r="F137" s="3" t="s">
        <v>34</v>
      </c>
      <c r="G137" s="3" t="s">
        <v>42</v>
      </c>
      <c r="H137" s="3" t="s">
        <v>43</v>
      </c>
      <c r="I137" s="3" t="s">
        <v>32</v>
      </c>
      <c r="J137" s="3">
        <v>99.1</v>
      </c>
      <c r="K137" s="3">
        <v>186.6</v>
      </c>
      <c r="L137" s="3">
        <v>66.5</v>
      </c>
      <c r="M137" s="3">
        <v>56.1</v>
      </c>
      <c r="N137" s="3">
        <v>2758</v>
      </c>
      <c r="O137" s="3" t="s">
        <v>44</v>
      </c>
      <c r="P137" s="3" t="s">
        <v>34</v>
      </c>
      <c r="Q137" s="3">
        <v>121</v>
      </c>
      <c r="R137" s="3" t="s">
        <v>35</v>
      </c>
      <c r="S137" s="3">
        <v>3.54</v>
      </c>
      <c r="T137" s="3">
        <v>3.07</v>
      </c>
      <c r="U137" s="3">
        <v>9.3000000000000007</v>
      </c>
      <c r="V137" s="3">
        <v>110</v>
      </c>
      <c r="W137" s="3">
        <v>5250</v>
      </c>
      <c r="X137" s="3">
        <v>21</v>
      </c>
      <c r="Y137" s="3">
        <v>28</v>
      </c>
      <c r="Z137" s="3">
        <v>15510</v>
      </c>
      <c r="AA137">
        <f t="shared" si="2"/>
        <v>13959</v>
      </c>
    </row>
    <row r="138" spans="1:27" ht="14.25" hidden="1" customHeight="1" x14ac:dyDescent="0.35">
      <c r="A138" s="3">
        <v>137</v>
      </c>
      <c r="B138" s="3">
        <v>3</v>
      </c>
      <c r="C138" s="3" t="s">
        <v>165</v>
      </c>
      <c r="D138" s="3" t="s">
        <v>27</v>
      </c>
      <c r="E138" s="3" t="s">
        <v>52</v>
      </c>
      <c r="F138" s="3" t="s">
        <v>29</v>
      </c>
      <c r="G138" s="3" t="s">
        <v>38</v>
      </c>
      <c r="H138" s="3" t="s">
        <v>43</v>
      </c>
      <c r="I138" s="3" t="s">
        <v>32</v>
      </c>
      <c r="J138" s="3">
        <v>99.1</v>
      </c>
      <c r="K138" s="3">
        <v>186.6</v>
      </c>
      <c r="L138" s="3">
        <v>66.5</v>
      </c>
      <c r="M138" s="3">
        <v>56.1</v>
      </c>
      <c r="N138" s="3">
        <v>2808</v>
      </c>
      <c r="O138" s="3" t="s">
        <v>33</v>
      </c>
      <c r="P138" s="3" t="s">
        <v>34</v>
      </c>
      <c r="Q138" s="3">
        <v>121</v>
      </c>
      <c r="R138" s="3" t="s">
        <v>35</v>
      </c>
      <c r="S138" s="3">
        <v>3.54</v>
      </c>
      <c r="T138" s="3">
        <v>3.07</v>
      </c>
      <c r="U138" s="3">
        <v>9</v>
      </c>
      <c r="V138" s="3">
        <v>160</v>
      </c>
      <c r="W138" s="3">
        <v>5500</v>
      </c>
      <c r="X138" s="3">
        <v>19</v>
      </c>
      <c r="Y138" s="3">
        <v>26</v>
      </c>
      <c r="Z138" s="3">
        <v>18150</v>
      </c>
      <c r="AA138">
        <f t="shared" si="2"/>
        <v>16335</v>
      </c>
    </row>
    <row r="139" spans="1:27" ht="14.25" hidden="1" customHeight="1" x14ac:dyDescent="0.35">
      <c r="A139" s="3">
        <v>138</v>
      </c>
      <c r="B139" s="3">
        <v>2</v>
      </c>
      <c r="C139" s="3" t="s">
        <v>163</v>
      </c>
      <c r="D139" s="3" t="s">
        <v>27</v>
      </c>
      <c r="E139" s="3" t="s">
        <v>52</v>
      </c>
      <c r="F139" s="3" t="s">
        <v>34</v>
      </c>
      <c r="G139" s="3" t="s">
        <v>42</v>
      </c>
      <c r="H139" s="3" t="s">
        <v>43</v>
      </c>
      <c r="I139" s="3" t="s">
        <v>32</v>
      </c>
      <c r="J139" s="3">
        <v>99.1</v>
      </c>
      <c r="K139" s="3">
        <v>186.6</v>
      </c>
      <c r="L139" s="3">
        <v>66.5</v>
      </c>
      <c r="M139" s="3">
        <v>56.1</v>
      </c>
      <c r="N139" s="3">
        <v>2847</v>
      </c>
      <c r="O139" s="3" t="s">
        <v>33</v>
      </c>
      <c r="P139" s="3" t="s">
        <v>34</v>
      </c>
      <c r="Q139" s="3">
        <v>121</v>
      </c>
      <c r="R139" s="3" t="s">
        <v>35</v>
      </c>
      <c r="S139" s="3">
        <v>3.54</v>
      </c>
      <c r="T139" s="3">
        <v>3.07</v>
      </c>
      <c r="U139" s="3">
        <v>9</v>
      </c>
      <c r="V139" s="3">
        <v>160</v>
      </c>
      <c r="W139" s="3">
        <v>5500</v>
      </c>
      <c r="X139" s="3">
        <v>19</v>
      </c>
      <c r="Y139" s="3">
        <v>26</v>
      </c>
      <c r="Z139" s="3">
        <v>18620</v>
      </c>
      <c r="AA139">
        <f t="shared" si="2"/>
        <v>16758</v>
      </c>
    </row>
    <row r="140" spans="1:27" ht="14.25" hidden="1" customHeight="1" x14ac:dyDescent="0.35">
      <c r="A140" s="3">
        <v>139</v>
      </c>
      <c r="B140" s="3">
        <v>2</v>
      </c>
      <c r="C140" s="3" t="s">
        <v>166</v>
      </c>
      <c r="D140" s="3" t="s">
        <v>27</v>
      </c>
      <c r="E140" s="3" t="s">
        <v>28</v>
      </c>
      <c r="F140" s="3" t="s">
        <v>29</v>
      </c>
      <c r="G140" s="3" t="s">
        <v>38</v>
      </c>
      <c r="H140" s="3" t="s">
        <v>43</v>
      </c>
      <c r="I140" s="3" t="s">
        <v>32</v>
      </c>
      <c r="J140" s="3">
        <v>93.7</v>
      </c>
      <c r="K140" s="3">
        <v>156.9</v>
      </c>
      <c r="L140" s="3">
        <v>63.4</v>
      </c>
      <c r="M140" s="3">
        <v>53.7</v>
      </c>
      <c r="N140" s="3">
        <v>2050</v>
      </c>
      <c r="O140" s="3" t="s">
        <v>157</v>
      </c>
      <c r="P140" s="3" t="s">
        <v>34</v>
      </c>
      <c r="Q140" s="3">
        <v>97</v>
      </c>
      <c r="R140" s="3" t="s">
        <v>63</v>
      </c>
      <c r="S140" s="3">
        <v>3.62</v>
      </c>
      <c r="T140" s="3">
        <v>2.36</v>
      </c>
      <c r="U140" s="3">
        <v>9</v>
      </c>
      <c r="V140" s="3">
        <v>69</v>
      </c>
      <c r="W140" s="3">
        <v>4900</v>
      </c>
      <c r="X140" s="3">
        <v>31</v>
      </c>
      <c r="Y140" s="3">
        <v>36</v>
      </c>
      <c r="Z140" s="3">
        <v>5118</v>
      </c>
      <c r="AA140">
        <f t="shared" si="2"/>
        <v>4606.2</v>
      </c>
    </row>
    <row r="141" spans="1:27" ht="14.25" hidden="1" customHeight="1" x14ac:dyDescent="0.35">
      <c r="A141" s="3">
        <v>140</v>
      </c>
      <c r="B141" s="3">
        <v>2</v>
      </c>
      <c r="C141" s="3" t="s">
        <v>167</v>
      </c>
      <c r="D141" s="3" t="s">
        <v>27</v>
      </c>
      <c r="E141" s="3" t="s">
        <v>28</v>
      </c>
      <c r="F141" s="3" t="s">
        <v>29</v>
      </c>
      <c r="G141" s="3" t="s">
        <v>38</v>
      </c>
      <c r="H141" s="3" t="s">
        <v>43</v>
      </c>
      <c r="I141" s="3" t="s">
        <v>32</v>
      </c>
      <c r="J141" s="3">
        <v>93.7</v>
      </c>
      <c r="K141" s="3">
        <v>157.9</v>
      </c>
      <c r="L141" s="3">
        <v>63.6</v>
      </c>
      <c r="M141" s="3">
        <v>53.7</v>
      </c>
      <c r="N141" s="3">
        <v>2120</v>
      </c>
      <c r="O141" s="3" t="s">
        <v>157</v>
      </c>
      <c r="P141" s="3" t="s">
        <v>34</v>
      </c>
      <c r="Q141" s="3">
        <v>108</v>
      </c>
      <c r="R141" s="3" t="s">
        <v>63</v>
      </c>
      <c r="S141" s="3">
        <v>3.62</v>
      </c>
      <c r="T141" s="3">
        <v>2.64</v>
      </c>
      <c r="U141" s="3">
        <v>8.6999999999999993</v>
      </c>
      <c r="V141" s="3">
        <v>73</v>
      </c>
      <c r="W141" s="3">
        <v>4400</v>
      </c>
      <c r="X141" s="3">
        <v>26</v>
      </c>
      <c r="Y141" s="3">
        <v>31</v>
      </c>
      <c r="Z141" s="3">
        <v>7053</v>
      </c>
      <c r="AA141">
        <f t="shared" si="2"/>
        <v>6347.7</v>
      </c>
    </row>
    <row r="142" spans="1:27" ht="14.25" hidden="1" customHeight="1" x14ac:dyDescent="0.35">
      <c r="A142" s="3">
        <v>141</v>
      </c>
      <c r="B142" s="3">
        <v>2</v>
      </c>
      <c r="C142" s="3" t="s">
        <v>167</v>
      </c>
      <c r="D142" s="3" t="s">
        <v>27</v>
      </c>
      <c r="E142" s="3" t="s">
        <v>28</v>
      </c>
      <c r="F142" s="3" t="s">
        <v>29</v>
      </c>
      <c r="G142" s="3" t="s">
        <v>38</v>
      </c>
      <c r="H142" s="3" t="s">
        <v>46</v>
      </c>
      <c r="I142" s="3" t="s">
        <v>32</v>
      </c>
      <c r="J142" s="3">
        <v>93.3</v>
      </c>
      <c r="K142" s="3">
        <v>157.30000000000001</v>
      </c>
      <c r="L142" s="3">
        <v>63.8</v>
      </c>
      <c r="M142" s="3">
        <v>55.7</v>
      </c>
      <c r="N142" s="3">
        <v>2240</v>
      </c>
      <c r="O142" s="3" t="s">
        <v>157</v>
      </c>
      <c r="P142" s="3" t="s">
        <v>34</v>
      </c>
      <c r="Q142" s="3">
        <v>108</v>
      </c>
      <c r="R142" s="3" t="s">
        <v>63</v>
      </c>
      <c r="S142" s="3">
        <v>3.62</v>
      </c>
      <c r="T142" s="3">
        <v>2.64</v>
      </c>
      <c r="U142" s="3">
        <v>8.6999999999999993</v>
      </c>
      <c r="V142" s="3">
        <v>73</v>
      </c>
      <c r="W142" s="3">
        <v>4400</v>
      </c>
      <c r="X142" s="3">
        <v>26</v>
      </c>
      <c r="Y142" s="3">
        <v>31</v>
      </c>
      <c r="Z142" s="3">
        <v>7603</v>
      </c>
      <c r="AA142">
        <f t="shared" si="2"/>
        <v>6842.7</v>
      </c>
    </row>
    <row r="143" spans="1:27" ht="14.25" hidden="1" customHeight="1" x14ac:dyDescent="0.35">
      <c r="A143" s="3">
        <v>142</v>
      </c>
      <c r="B143" s="3">
        <v>0</v>
      </c>
      <c r="C143" s="3" t="s">
        <v>166</v>
      </c>
      <c r="D143" s="3" t="s">
        <v>27</v>
      </c>
      <c r="E143" s="3" t="s">
        <v>28</v>
      </c>
      <c r="F143" s="3" t="s">
        <v>34</v>
      </c>
      <c r="G143" s="3" t="s">
        <v>42</v>
      </c>
      <c r="H143" s="3" t="s">
        <v>43</v>
      </c>
      <c r="I143" s="3" t="s">
        <v>32</v>
      </c>
      <c r="J143" s="3">
        <v>97.2</v>
      </c>
      <c r="K143" s="3">
        <v>172</v>
      </c>
      <c r="L143" s="3">
        <v>65.400000000000006</v>
      </c>
      <c r="M143" s="3">
        <v>52.5</v>
      </c>
      <c r="N143" s="3">
        <v>2145</v>
      </c>
      <c r="O143" s="3" t="s">
        <v>157</v>
      </c>
      <c r="P143" s="3" t="s">
        <v>34</v>
      </c>
      <c r="Q143" s="3">
        <v>108</v>
      </c>
      <c r="R143" s="3" t="s">
        <v>63</v>
      </c>
      <c r="S143" s="3">
        <v>3.62</v>
      </c>
      <c r="T143" s="3">
        <v>2.64</v>
      </c>
      <c r="U143" s="3">
        <v>9.5</v>
      </c>
      <c r="V143" s="3">
        <v>82</v>
      </c>
      <c r="W143" s="3">
        <v>4800</v>
      </c>
      <c r="X143" s="3">
        <v>32</v>
      </c>
      <c r="Y143" s="3">
        <v>37</v>
      </c>
      <c r="Z143" s="3">
        <v>7126</v>
      </c>
      <c r="AA143">
        <f t="shared" si="2"/>
        <v>6413.4000000000005</v>
      </c>
    </row>
    <row r="144" spans="1:27" ht="14.25" hidden="1" customHeight="1" x14ac:dyDescent="0.35">
      <c r="A144" s="3">
        <v>143</v>
      </c>
      <c r="B144" s="3">
        <v>0</v>
      </c>
      <c r="C144" s="3" t="s">
        <v>168</v>
      </c>
      <c r="D144" s="3" t="s">
        <v>27</v>
      </c>
      <c r="E144" s="3" t="s">
        <v>28</v>
      </c>
      <c r="F144" s="3" t="s">
        <v>34</v>
      </c>
      <c r="G144" s="3" t="s">
        <v>42</v>
      </c>
      <c r="H144" s="3" t="s">
        <v>43</v>
      </c>
      <c r="I144" s="3" t="s">
        <v>32</v>
      </c>
      <c r="J144" s="3">
        <v>97.2</v>
      </c>
      <c r="K144" s="3">
        <v>172</v>
      </c>
      <c r="L144" s="3">
        <v>65.400000000000006</v>
      </c>
      <c r="M144" s="3">
        <v>52.5</v>
      </c>
      <c r="N144" s="3">
        <v>2190</v>
      </c>
      <c r="O144" s="3" t="s">
        <v>157</v>
      </c>
      <c r="P144" s="3" t="s">
        <v>34</v>
      </c>
      <c r="Q144" s="3">
        <v>108</v>
      </c>
      <c r="R144" s="3" t="s">
        <v>63</v>
      </c>
      <c r="S144" s="3">
        <v>3.62</v>
      </c>
      <c r="T144" s="3">
        <v>2.64</v>
      </c>
      <c r="U144" s="3">
        <v>9.5</v>
      </c>
      <c r="V144" s="3">
        <v>82</v>
      </c>
      <c r="W144" s="3">
        <v>4400</v>
      </c>
      <c r="X144" s="3">
        <v>28</v>
      </c>
      <c r="Y144" s="3">
        <v>33</v>
      </c>
      <c r="Z144" s="3">
        <v>7775</v>
      </c>
      <c r="AA144">
        <f t="shared" si="2"/>
        <v>6997.5</v>
      </c>
    </row>
    <row r="145" spans="1:27" ht="14.25" hidden="1" customHeight="1" x14ac:dyDescent="0.35">
      <c r="A145" s="3">
        <v>144</v>
      </c>
      <c r="B145" s="3">
        <v>0</v>
      </c>
      <c r="C145" s="3" t="s">
        <v>169</v>
      </c>
      <c r="D145" s="3" t="s">
        <v>27</v>
      </c>
      <c r="E145" s="3" t="s">
        <v>28</v>
      </c>
      <c r="F145" s="3" t="s">
        <v>34</v>
      </c>
      <c r="G145" s="3" t="s">
        <v>42</v>
      </c>
      <c r="H145" s="3" t="s">
        <v>43</v>
      </c>
      <c r="I145" s="3" t="s">
        <v>32</v>
      </c>
      <c r="J145" s="3">
        <v>97.2</v>
      </c>
      <c r="K145" s="3">
        <v>172</v>
      </c>
      <c r="L145" s="3">
        <v>65.400000000000006</v>
      </c>
      <c r="M145" s="3">
        <v>52.5</v>
      </c>
      <c r="N145" s="3">
        <v>2340</v>
      </c>
      <c r="O145" s="3" t="s">
        <v>157</v>
      </c>
      <c r="P145" s="3" t="s">
        <v>34</v>
      </c>
      <c r="Q145" s="3">
        <v>108</v>
      </c>
      <c r="R145" s="3" t="s">
        <v>35</v>
      </c>
      <c r="S145" s="3">
        <v>3.62</v>
      </c>
      <c r="T145" s="3">
        <v>2.64</v>
      </c>
      <c r="U145" s="3">
        <v>9</v>
      </c>
      <c r="V145" s="3">
        <v>94</v>
      </c>
      <c r="W145" s="3">
        <v>5200</v>
      </c>
      <c r="X145" s="3">
        <v>26</v>
      </c>
      <c r="Y145" s="3">
        <v>32</v>
      </c>
      <c r="Z145" s="3">
        <v>9960</v>
      </c>
      <c r="AA145">
        <f t="shared" si="2"/>
        <v>8964</v>
      </c>
    </row>
    <row r="146" spans="1:27" ht="14.25" hidden="1" customHeight="1" x14ac:dyDescent="0.35">
      <c r="A146" s="3">
        <v>145</v>
      </c>
      <c r="B146" s="3">
        <v>0</v>
      </c>
      <c r="C146" s="3" t="s">
        <v>170</v>
      </c>
      <c r="D146" s="3" t="s">
        <v>27</v>
      </c>
      <c r="E146" s="3" t="s">
        <v>28</v>
      </c>
      <c r="F146" s="3" t="s">
        <v>34</v>
      </c>
      <c r="G146" s="3" t="s">
        <v>42</v>
      </c>
      <c r="H146" s="3" t="s">
        <v>46</v>
      </c>
      <c r="I146" s="3" t="s">
        <v>32</v>
      </c>
      <c r="J146" s="3">
        <v>97</v>
      </c>
      <c r="K146" s="3">
        <v>172</v>
      </c>
      <c r="L146" s="3">
        <v>65.400000000000006</v>
      </c>
      <c r="M146" s="3">
        <v>54.3</v>
      </c>
      <c r="N146" s="3">
        <v>2385</v>
      </c>
      <c r="O146" s="3" t="s">
        <v>157</v>
      </c>
      <c r="P146" s="3" t="s">
        <v>34</v>
      </c>
      <c r="Q146" s="3">
        <v>108</v>
      </c>
      <c r="R146" s="3" t="s">
        <v>63</v>
      </c>
      <c r="S146" s="3">
        <v>3.62</v>
      </c>
      <c r="T146" s="3">
        <v>2.64</v>
      </c>
      <c r="U146" s="3">
        <v>9</v>
      </c>
      <c r="V146" s="3">
        <v>82</v>
      </c>
      <c r="W146" s="3">
        <v>4800</v>
      </c>
      <c r="X146" s="3">
        <v>24</v>
      </c>
      <c r="Y146" s="3">
        <v>25</v>
      </c>
      <c r="Z146" s="3">
        <v>9233</v>
      </c>
      <c r="AA146">
        <f t="shared" si="2"/>
        <v>8309.7000000000007</v>
      </c>
    </row>
    <row r="147" spans="1:27" ht="14.25" hidden="1" customHeight="1" x14ac:dyDescent="0.35">
      <c r="A147" s="3">
        <v>146</v>
      </c>
      <c r="B147" s="3">
        <v>0</v>
      </c>
      <c r="C147" s="3" t="s">
        <v>171</v>
      </c>
      <c r="D147" s="3" t="s">
        <v>27</v>
      </c>
      <c r="E147" s="3" t="s">
        <v>52</v>
      </c>
      <c r="F147" s="3" t="s">
        <v>34</v>
      </c>
      <c r="G147" s="3" t="s">
        <v>42</v>
      </c>
      <c r="H147" s="3" t="s">
        <v>46</v>
      </c>
      <c r="I147" s="3" t="s">
        <v>32</v>
      </c>
      <c r="J147" s="3">
        <v>97</v>
      </c>
      <c r="K147" s="3">
        <v>172</v>
      </c>
      <c r="L147" s="3">
        <v>65.400000000000006</v>
      </c>
      <c r="M147" s="3">
        <v>54.3</v>
      </c>
      <c r="N147" s="3">
        <v>2510</v>
      </c>
      <c r="O147" s="3" t="s">
        <v>157</v>
      </c>
      <c r="P147" s="3" t="s">
        <v>34</v>
      </c>
      <c r="Q147" s="3">
        <v>108</v>
      </c>
      <c r="R147" s="3" t="s">
        <v>35</v>
      </c>
      <c r="S147" s="3">
        <v>3.62</v>
      </c>
      <c r="T147" s="3">
        <v>2.64</v>
      </c>
      <c r="U147" s="3">
        <v>7.7</v>
      </c>
      <c r="V147" s="3">
        <v>111</v>
      </c>
      <c r="W147" s="3">
        <v>4800</v>
      </c>
      <c r="X147" s="3">
        <v>24</v>
      </c>
      <c r="Y147" s="3">
        <v>29</v>
      </c>
      <c r="Z147" s="3">
        <v>11259</v>
      </c>
      <c r="AA147">
        <f t="shared" si="2"/>
        <v>10133.1</v>
      </c>
    </row>
    <row r="148" spans="1:27" ht="14.25" hidden="1" customHeight="1" x14ac:dyDescent="0.35">
      <c r="A148" s="3">
        <v>147</v>
      </c>
      <c r="B148" s="3">
        <v>0</v>
      </c>
      <c r="C148" s="3" t="s">
        <v>172</v>
      </c>
      <c r="D148" s="3" t="s">
        <v>27</v>
      </c>
      <c r="E148" s="3" t="s">
        <v>28</v>
      </c>
      <c r="F148" s="3" t="s">
        <v>34</v>
      </c>
      <c r="G148" s="3" t="s">
        <v>50</v>
      </c>
      <c r="H148" s="3" t="s">
        <v>43</v>
      </c>
      <c r="I148" s="3" t="s">
        <v>32</v>
      </c>
      <c r="J148" s="3">
        <v>97</v>
      </c>
      <c r="K148" s="3">
        <v>173.5</v>
      </c>
      <c r="L148" s="3">
        <v>65.400000000000006</v>
      </c>
      <c r="M148" s="3">
        <v>53</v>
      </c>
      <c r="N148" s="3">
        <v>2290</v>
      </c>
      <c r="O148" s="3" t="s">
        <v>157</v>
      </c>
      <c r="P148" s="3" t="s">
        <v>34</v>
      </c>
      <c r="Q148" s="3">
        <v>108</v>
      </c>
      <c r="R148" s="3" t="s">
        <v>63</v>
      </c>
      <c r="S148" s="3">
        <v>3.62</v>
      </c>
      <c r="T148" s="3">
        <v>2.64</v>
      </c>
      <c r="U148" s="3">
        <v>9</v>
      </c>
      <c r="V148" s="3">
        <v>82</v>
      </c>
      <c r="W148" s="3">
        <v>4800</v>
      </c>
      <c r="X148" s="3">
        <v>28</v>
      </c>
      <c r="Y148" s="3">
        <v>32</v>
      </c>
      <c r="Z148" s="3">
        <v>7463</v>
      </c>
      <c r="AA148">
        <f t="shared" si="2"/>
        <v>6716.7</v>
      </c>
    </row>
    <row r="149" spans="1:27" ht="14.25" hidden="1" customHeight="1" x14ac:dyDescent="0.35">
      <c r="A149" s="3">
        <v>148</v>
      </c>
      <c r="B149" s="3">
        <v>0</v>
      </c>
      <c r="C149" s="3" t="s">
        <v>173</v>
      </c>
      <c r="D149" s="3" t="s">
        <v>27</v>
      </c>
      <c r="E149" s="3" t="s">
        <v>28</v>
      </c>
      <c r="F149" s="3" t="s">
        <v>34</v>
      </c>
      <c r="G149" s="3" t="s">
        <v>50</v>
      </c>
      <c r="H149" s="3" t="s">
        <v>43</v>
      </c>
      <c r="I149" s="3" t="s">
        <v>32</v>
      </c>
      <c r="J149" s="3">
        <v>97</v>
      </c>
      <c r="K149" s="3">
        <v>173.5</v>
      </c>
      <c r="L149" s="3">
        <v>65.400000000000006</v>
      </c>
      <c r="M149" s="3">
        <v>53</v>
      </c>
      <c r="N149" s="3">
        <v>2455</v>
      </c>
      <c r="O149" s="3" t="s">
        <v>157</v>
      </c>
      <c r="P149" s="3" t="s">
        <v>34</v>
      </c>
      <c r="Q149" s="3">
        <v>108</v>
      </c>
      <c r="R149" s="3" t="s">
        <v>35</v>
      </c>
      <c r="S149" s="3">
        <v>3.62</v>
      </c>
      <c r="T149" s="3">
        <v>2.64</v>
      </c>
      <c r="U149" s="3">
        <v>9</v>
      </c>
      <c r="V149" s="3">
        <v>94</v>
      </c>
      <c r="W149" s="3">
        <v>5200</v>
      </c>
      <c r="X149" s="3">
        <v>25</v>
      </c>
      <c r="Y149" s="3">
        <v>31</v>
      </c>
      <c r="Z149" s="3">
        <v>10198</v>
      </c>
      <c r="AA149">
        <f t="shared" si="2"/>
        <v>9178.2000000000007</v>
      </c>
    </row>
    <row r="150" spans="1:27" ht="14.25" hidden="1" customHeight="1" x14ac:dyDescent="0.35">
      <c r="A150" s="3">
        <v>149</v>
      </c>
      <c r="B150" s="3">
        <v>0</v>
      </c>
      <c r="C150" s="3" t="s">
        <v>167</v>
      </c>
      <c r="D150" s="3" t="s">
        <v>27</v>
      </c>
      <c r="E150" s="3" t="s">
        <v>28</v>
      </c>
      <c r="F150" s="3" t="s">
        <v>34</v>
      </c>
      <c r="G150" s="3" t="s">
        <v>50</v>
      </c>
      <c r="H150" s="3" t="s">
        <v>46</v>
      </c>
      <c r="I150" s="3" t="s">
        <v>32</v>
      </c>
      <c r="J150" s="3">
        <v>96.9</v>
      </c>
      <c r="K150" s="3">
        <v>173.6</v>
      </c>
      <c r="L150" s="3">
        <v>65.400000000000006</v>
      </c>
      <c r="M150" s="3">
        <v>54.9</v>
      </c>
      <c r="N150" s="3">
        <v>2420</v>
      </c>
      <c r="O150" s="3" t="s">
        <v>157</v>
      </c>
      <c r="P150" s="3" t="s">
        <v>34</v>
      </c>
      <c r="Q150" s="3">
        <v>108</v>
      </c>
      <c r="R150" s="3" t="s">
        <v>63</v>
      </c>
      <c r="S150" s="3">
        <v>3.62</v>
      </c>
      <c r="T150" s="3">
        <v>2.64</v>
      </c>
      <c r="U150" s="3">
        <v>9</v>
      </c>
      <c r="V150" s="3">
        <v>82</v>
      </c>
      <c r="W150" s="3">
        <v>4800</v>
      </c>
      <c r="X150" s="3">
        <v>23</v>
      </c>
      <c r="Y150" s="3">
        <v>29</v>
      </c>
      <c r="Z150" s="3">
        <v>8013</v>
      </c>
      <c r="AA150">
        <f t="shared" si="2"/>
        <v>7211.7</v>
      </c>
    </row>
    <row r="151" spans="1:27" ht="14.25" hidden="1" customHeight="1" x14ac:dyDescent="0.35">
      <c r="A151" s="3">
        <v>150</v>
      </c>
      <c r="B151" s="3">
        <v>0</v>
      </c>
      <c r="C151" s="3" t="s">
        <v>167</v>
      </c>
      <c r="D151" s="3" t="s">
        <v>27</v>
      </c>
      <c r="E151" s="3" t="s">
        <v>52</v>
      </c>
      <c r="F151" s="3" t="s">
        <v>34</v>
      </c>
      <c r="G151" s="3" t="s">
        <v>50</v>
      </c>
      <c r="H151" s="3" t="s">
        <v>46</v>
      </c>
      <c r="I151" s="3" t="s">
        <v>32</v>
      </c>
      <c r="J151" s="3">
        <v>96.9</v>
      </c>
      <c r="K151" s="3">
        <v>173.6</v>
      </c>
      <c r="L151" s="3">
        <v>65.400000000000006</v>
      </c>
      <c r="M151" s="3">
        <v>54.9</v>
      </c>
      <c r="N151" s="3">
        <v>2650</v>
      </c>
      <c r="O151" s="3" t="s">
        <v>157</v>
      </c>
      <c r="P151" s="3" t="s">
        <v>34</v>
      </c>
      <c r="Q151" s="3">
        <v>108</v>
      </c>
      <c r="R151" s="3" t="s">
        <v>35</v>
      </c>
      <c r="S151" s="3">
        <v>3.62</v>
      </c>
      <c r="T151" s="3">
        <v>2.64</v>
      </c>
      <c r="U151" s="3">
        <v>7.7</v>
      </c>
      <c r="V151" s="3">
        <v>111</v>
      </c>
      <c r="W151" s="3">
        <v>4800</v>
      </c>
      <c r="X151" s="3">
        <v>23</v>
      </c>
      <c r="Y151" s="3">
        <v>23</v>
      </c>
      <c r="Z151" s="3">
        <v>11694</v>
      </c>
      <c r="AA151">
        <f t="shared" si="2"/>
        <v>10524.6</v>
      </c>
    </row>
    <row r="152" spans="1:27" ht="14.25" hidden="1" customHeight="1" x14ac:dyDescent="0.35">
      <c r="A152" s="3">
        <v>151</v>
      </c>
      <c r="B152" s="3">
        <v>1</v>
      </c>
      <c r="C152" s="3" t="s">
        <v>174</v>
      </c>
      <c r="D152" s="3" t="s">
        <v>27</v>
      </c>
      <c r="E152" s="3" t="s">
        <v>28</v>
      </c>
      <c r="F152" s="3" t="s">
        <v>29</v>
      </c>
      <c r="G152" s="3" t="s">
        <v>38</v>
      </c>
      <c r="H152" s="3" t="s">
        <v>43</v>
      </c>
      <c r="I152" s="3" t="s">
        <v>32</v>
      </c>
      <c r="J152" s="3">
        <v>95.7</v>
      </c>
      <c r="K152" s="3">
        <v>158.69999999999999</v>
      </c>
      <c r="L152" s="3">
        <v>63.6</v>
      </c>
      <c r="M152" s="3">
        <v>54.5</v>
      </c>
      <c r="N152" s="3">
        <v>1985</v>
      </c>
      <c r="O152" s="3" t="s">
        <v>44</v>
      </c>
      <c r="P152" s="3" t="s">
        <v>34</v>
      </c>
      <c r="Q152" s="3">
        <v>92</v>
      </c>
      <c r="R152" s="3" t="s">
        <v>63</v>
      </c>
      <c r="S152" s="3">
        <v>3.05</v>
      </c>
      <c r="T152" s="3">
        <v>3.03</v>
      </c>
      <c r="U152" s="3">
        <v>9</v>
      </c>
      <c r="V152" s="3">
        <v>62</v>
      </c>
      <c r="W152" s="3">
        <v>4800</v>
      </c>
      <c r="X152" s="3">
        <v>35</v>
      </c>
      <c r="Y152" s="3">
        <v>39</v>
      </c>
      <c r="Z152" s="3">
        <v>5348</v>
      </c>
      <c r="AA152">
        <f t="shared" si="2"/>
        <v>4813.2</v>
      </c>
    </row>
    <row r="153" spans="1:27" ht="14.25" hidden="1" customHeight="1" x14ac:dyDescent="0.35">
      <c r="A153" s="3">
        <v>152</v>
      </c>
      <c r="B153" s="3">
        <v>1</v>
      </c>
      <c r="C153" s="3" t="s">
        <v>175</v>
      </c>
      <c r="D153" s="3" t="s">
        <v>27</v>
      </c>
      <c r="E153" s="3" t="s">
        <v>28</v>
      </c>
      <c r="F153" s="3" t="s">
        <v>29</v>
      </c>
      <c r="G153" s="3" t="s">
        <v>38</v>
      </c>
      <c r="H153" s="3" t="s">
        <v>43</v>
      </c>
      <c r="I153" s="3" t="s">
        <v>32</v>
      </c>
      <c r="J153" s="3">
        <v>95.7</v>
      </c>
      <c r="K153" s="3">
        <v>158.69999999999999</v>
      </c>
      <c r="L153" s="3">
        <v>63.6</v>
      </c>
      <c r="M153" s="3">
        <v>54.5</v>
      </c>
      <c r="N153" s="3">
        <v>2040</v>
      </c>
      <c r="O153" s="3" t="s">
        <v>44</v>
      </c>
      <c r="P153" s="3" t="s">
        <v>34</v>
      </c>
      <c r="Q153" s="3">
        <v>92</v>
      </c>
      <c r="R153" s="3" t="s">
        <v>63</v>
      </c>
      <c r="S153" s="3">
        <v>3.05</v>
      </c>
      <c r="T153" s="3">
        <v>3.03</v>
      </c>
      <c r="U153" s="3">
        <v>9</v>
      </c>
      <c r="V153" s="3">
        <v>62</v>
      </c>
      <c r="W153" s="3">
        <v>4800</v>
      </c>
      <c r="X153" s="3">
        <v>31</v>
      </c>
      <c r="Y153" s="3">
        <v>38</v>
      </c>
      <c r="Z153" s="3">
        <v>6338</v>
      </c>
      <c r="AA153">
        <f t="shared" si="2"/>
        <v>5704.2</v>
      </c>
    </row>
    <row r="154" spans="1:27" ht="14.25" hidden="1" customHeight="1" x14ac:dyDescent="0.35">
      <c r="A154" s="3">
        <v>153</v>
      </c>
      <c r="B154" s="3">
        <v>1</v>
      </c>
      <c r="C154" s="3" t="s">
        <v>176</v>
      </c>
      <c r="D154" s="3" t="s">
        <v>27</v>
      </c>
      <c r="E154" s="3" t="s">
        <v>28</v>
      </c>
      <c r="F154" s="3" t="s">
        <v>34</v>
      </c>
      <c r="G154" s="3" t="s">
        <v>38</v>
      </c>
      <c r="H154" s="3" t="s">
        <v>43</v>
      </c>
      <c r="I154" s="3" t="s">
        <v>32</v>
      </c>
      <c r="J154" s="3">
        <v>95.7</v>
      </c>
      <c r="K154" s="3">
        <v>158.69999999999999</v>
      </c>
      <c r="L154" s="3">
        <v>63.6</v>
      </c>
      <c r="M154" s="3">
        <v>54.5</v>
      </c>
      <c r="N154" s="3">
        <v>2015</v>
      </c>
      <c r="O154" s="3" t="s">
        <v>44</v>
      </c>
      <c r="P154" s="3" t="s">
        <v>34</v>
      </c>
      <c r="Q154" s="3">
        <v>92</v>
      </c>
      <c r="R154" s="3" t="s">
        <v>63</v>
      </c>
      <c r="S154" s="3">
        <v>3.05</v>
      </c>
      <c r="T154" s="3">
        <v>3.03</v>
      </c>
      <c r="U154" s="3">
        <v>9</v>
      </c>
      <c r="V154" s="3">
        <v>62</v>
      </c>
      <c r="W154" s="3">
        <v>4800</v>
      </c>
      <c r="X154" s="3">
        <v>31</v>
      </c>
      <c r="Y154" s="3">
        <v>38</v>
      </c>
      <c r="Z154" s="3">
        <v>6488</v>
      </c>
      <c r="AA154">
        <f t="shared" si="2"/>
        <v>5839.2</v>
      </c>
    </row>
    <row r="155" spans="1:27" ht="14.25" hidden="1" customHeight="1" x14ac:dyDescent="0.35">
      <c r="A155" s="3">
        <v>154</v>
      </c>
      <c r="B155" s="3">
        <v>0</v>
      </c>
      <c r="C155" s="3" t="s">
        <v>177</v>
      </c>
      <c r="D155" s="3" t="s">
        <v>27</v>
      </c>
      <c r="E155" s="3" t="s">
        <v>28</v>
      </c>
      <c r="F155" s="3" t="s">
        <v>34</v>
      </c>
      <c r="G155" s="3" t="s">
        <v>50</v>
      </c>
      <c r="H155" s="3" t="s">
        <v>43</v>
      </c>
      <c r="I155" s="3" t="s">
        <v>32</v>
      </c>
      <c r="J155" s="3">
        <v>95.7</v>
      </c>
      <c r="K155" s="3">
        <v>169.7</v>
      </c>
      <c r="L155" s="3">
        <v>63.6</v>
      </c>
      <c r="M155" s="3">
        <v>59.1</v>
      </c>
      <c r="N155" s="3">
        <v>2280</v>
      </c>
      <c r="O155" s="3" t="s">
        <v>44</v>
      </c>
      <c r="P155" s="3" t="s">
        <v>34</v>
      </c>
      <c r="Q155" s="3">
        <v>92</v>
      </c>
      <c r="R155" s="3" t="s">
        <v>63</v>
      </c>
      <c r="S155" s="3">
        <v>3.05</v>
      </c>
      <c r="T155" s="3">
        <v>3.03</v>
      </c>
      <c r="U155" s="3">
        <v>9</v>
      </c>
      <c r="V155" s="3">
        <v>62</v>
      </c>
      <c r="W155" s="3">
        <v>4800</v>
      </c>
      <c r="X155" s="3">
        <v>31</v>
      </c>
      <c r="Y155" s="3">
        <v>37</v>
      </c>
      <c r="Z155" s="3">
        <v>6918</v>
      </c>
      <c r="AA155">
        <f t="shared" si="2"/>
        <v>6226.2</v>
      </c>
    </row>
    <row r="156" spans="1:27" ht="14.25" hidden="1" customHeight="1" x14ac:dyDescent="0.35">
      <c r="A156" s="3">
        <v>155</v>
      </c>
      <c r="B156" s="3">
        <v>0</v>
      </c>
      <c r="C156" s="3" t="s">
        <v>178</v>
      </c>
      <c r="D156" s="3" t="s">
        <v>27</v>
      </c>
      <c r="E156" s="3" t="s">
        <v>28</v>
      </c>
      <c r="F156" s="3" t="s">
        <v>34</v>
      </c>
      <c r="G156" s="3" t="s">
        <v>50</v>
      </c>
      <c r="H156" s="3" t="s">
        <v>46</v>
      </c>
      <c r="I156" s="3" t="s">
        <v>32</v>
      </c>
      <c r="J156" s="3">
        <v>95.7</v>
      </c>
      <c r="K156" s="3">
        <v>169.7</v>
      </c>
      <c r="L156" s="3">
        <v>63.6</v>
      </c>
      <c r="M156" s="3">
        <v>59.1</v>
      </c>
      <c r="N156" s="3">
        <v>2290</v>
      </c>
      <c r="O156" s="3" t="s">
        <v>44</v>
      </c>
      <c r="P156" s="3" t="s">
        <v>34</v>
      </c>
      <c r="Q156" s="3">
        <v>92</v>
      </c>
      <c r="R156" s="3" t="s">
        <v>63</v>
      </c>
      <c r="S156" s="3">
        <v>3.05</v>
      </c>
      <c r="T156" s="3">
        <v>3.03</v>
      </c>
      <c r="U156" s="3">
        <v>9</v>
      </c>
      <c r="V156" s="3">
        <v>62</v>
      </c>
      <c r="W156" s="3">
        <v>4800</v>
      </c>
      <c r="X156" s="3">
        <v>27</v>
      </c>
      <c r="Y156" s="3">
        <v>32</v>
      </c>
      <c r="Z156" s="3">
        <v>7898</v>
      </c>
      <c r="AA156">
        <f t="shared" si="2"/>
        <v>7108.2</v>
      </c>
    </row>
    <row r="157" spans="1:27" ht="14.25" hidden="1" customHeight="1" x14ac:dyDescent="0.35">
      <c r="A157" s="3">
        <v>156</v>
      </c>
      <c r="B157" s="3">
        <v>0</v>
      </c>
      <c r="C157" s="3" t="s">
        <v>179</v>
      </c>
      <c r="D157" s="3" t="s">
        <v>27</v>
      </c>
      <c r="E157" s="3" t="s">
        <v>28</v>
      </c>
      <c r="F157" s="3" t="s">
        <v>34</v>
      </c>
      <c r="G157" s="3" t="s">
        <v>50</v>
      </c>
      <c r="H157" s="3" t="s">
        <v>46</v>
      </c>
      <c r="I157" s="3" t="s">
        <v>32</v>
      </c>
      <c r="J157" s="3">
        <v>95.7</v>
      </c>
      <c r="K157" s="3">
        <v>169.7</v>
      </c>
      <c r="L157" s="3">
        <v>63.6</v>
      </c>
      <c r="M157" s="3">
        <v>59.1</v>
      </c>
      <c r="N157" s="3">
        <v>3110</v>
      </c>
      <c r="O157" s="3" t="s">
        <v>44</v>
      </c>
      <c r="P157" s="3" t="s">
        <v>34</v>
      </c>
      <c r="Q157" s="3">
        <v>92</v>
      </c>
      <c r="R157" s="3" t="s">
        <v>63</v>
      </c>
      <c r="S157" s="3">
        <v>3.05</v>
      </c>
      <c r="T157" s="3">
        <v>3.03</v>
      </c>
      <c r="U157" s="3">
        <v>9</v>
      </c>
      <c r="V157" s="3">
        <v>62</v>
      </c>
      <c r="W157" s="3">
        <v>4800</v>
      </c>
      <c r="X157" s="3">
        <v>27</v>
      </c>
      <c r="Y157" s="3">
        <v>32</v>
      </c>
      <c r="Z157" s="3">
        <v>8778</v>
      </c>
      <c r="AA157">
        <f t="shared" si="2"/>
        <v>7900.2</v>
      </c>
    </row>
    <row r="158" spans="1:27" ht="14.25" hidden="1" customHeight="1" x14ac:dyDescent="0.35">
      <c r="A158" s="3">
        <v>157</v>
      </c>
      <c r="B158" s="3">
        <v>0</v>
      </c>
      <c r="C158" s="3" t="s">
        <v>180</v>
      </c>
      <c r="D158" s="3" t="s">
        <v>27</v>
      </c>
      <c r="E158" s="3" t="s">
        <v>28</v>
      </c>
      <c r="F158" s="3" t="s">
        <v>34</v>
      </c>
      <c r="G158" s="3" t="s">
        <v>42</v>
      </c>
      <c r="H158" s="3" t="s">
        <v>43</v>
      </c>
      <c r="I158" s="3" t="s">
        <v>32</v>
      </c>
      <c r="J158" s="3">
        <v>95.7</v>
      </c>
      <c r="K158" s="3">
        <v>166.3</v>
      </c>
      <c r="L158" s="3">
        <v>64.400000000000006</v>
      </c>
      <c r="M158" s="3">
        <v>53</v>
      </c>
      <c r="N158" s="3">
        <v>2081</v>
      </c>
      <c r="O158" s="3" t="s">
        <v>44</v>
      </c>
      <c r="P158" s="3" t="s">
        <v>34</v>
      </c>
      <c r="Q158" s="3">
        <v>98</v>
      </c>
      <c r="R158" s="3" t="s">
        <v>63</v>
      </c>
      <c r="S158" s="3">
        <v>3.19</v>
      </c>
      <c r="T158" s="3">
        <v>3.03</v>
      </c>
      <c r="U158" s="3">
        <v>9</v>
      </c>
      <c r="V158" s="3">
        <v>70</v>
      </c>
      <c r="W158" s="3">
        <v>4800</v>
      </c>
      <c r="X158" s="3">
        <v>30</v>
      </c>
      <c r="Y158" s="3">
        <v>37</v>
      </c>
      <c r="Z158" s="3">
        <v>6938</v>
      </c>
      <c r="AA158">
        <f t="shared" si="2"/>
        <v>6244.2</v>
      </c>
    </row>
    <row r="159" spans="1:27" ht="14.25" hidden="1" customHeight="1" x14ac:dyDescent="0.35">
      <c r="A159" s="3">
        <v>158</v>
      </c>
      <c r="B159" s="3">
        <v>0</v>
      </c>
      <c r="C159" s="3" t="s">
        <v>176</v>
      </c>
      <c r="D159" s="3" t="s">
        <v>27</v>
      </c>
      <c r="E159" s="3" t="s">
        <v>28</v>
      </c>
      <c r="F159" s="3" t="s">
        <v>34</v>
      </c>
      <c r="G159" s="3" t="s">
        <v>38</v>
      </c>
      <c r="H159" s="3" t="s">
        <v>43</v>
      </c>
      <c r="I159" s="3" t="s">
        <v>32</v>
      </c>
      <c r="J159" s="3">
        <v>95.7</v>
      </c>
      <c r="K159" s="3">
        <v>166.3</v>
      </c>
      <c r="L159" s="3">
        <v>64.400000000000006</v>
      </c>
      <c r="M159" s="3">
        <v>52.8</v>
      </c>
      <c r="N159" s="3">
        <v>2109</v>
      </c>
      <c r="O159" s="3" t="s">
        <v>44</v>
      </c>
      <c r="P159" s="3" t="s">
        <v>34</v>
      </c>
      <c r="Q159" s="3">
        <v>98</v>
      </c>
      <c r="R159" s="3" t="s">
        <v>63</v>
      </c>
      <c r="S159" s="3">
        <v>3.19</v>
      </c>
      <c r="T159" s="3">
        <v>3.03</v>
      </c>
      <c r="U159" s="3">
        <v>9</v>
      </c>
      <c r="V159" s="3">
        <v>70</v>
      </c>
      <c r="W159" s="3">
        <v>4800</v>
      </c>
      <c r="X159" s="3">
        <v>30</v>
      </c>
      <c r="Y159" s="3">
        <v>37</v>
      </c>
      <c r="Z159" s="3">
        <v>7198</v>
      </c>
      <c r="AA159">
        <f t="shared" si="2"/>
        <v>6478.2</v>
      </c>
    </row>
    <row r="160" spans="1:27" ht="14.25" customHeight="1" x14ac:dyDescent="0.35">
      <c r="A160" s="3">
        <v>159</v>
      </c>
      <c r="B160" s="3">
        <v>0</v>
      </c>
      <c r="C160" s="3" t="s">
        <v>175</v>
      </c>
      <c r="D160" s="3" t="s">
        <v>107</v>
      </c>
      <c r="E160" s="3" t="s">
        <v>28</v>
      </c>
      <c r="F160" s="3" t="s">
        <v>34</v>
      </c>
      <c r="G160" s="3" t="s">
        <v>42</v>
      </c>
      <c r="H160" s="3" t="s">
        <v>43</v>
      </c>
      <c r="I160" s="3" t="s">
        <v>32</v>
      </c>
      <c r="J160" s="3">
        <v>95.7</v>
      </c>
      <c r="K160" s="3">
        <v>166.3</v>
      </c>
      <c r="L160" s="3">
        <v>64.400000000000006</v>
      </c>
      <c r="M160" s="3">
        <v>53</v>
      </c>
      <c r="N160" s="3">
        <v>2275</v>
      </c>
      <c r="O160" s="3" t="s">
        <v>44</v>
      </c>
      <c r="P160" s="3" t="s">
        <v>34</v>
      </c>
      <c r="Q160" s="3">
        <v>110</v>
      </c>
      <c r="R160" s="3" t="s">
        <v>108</v>
      </c>
      <c r="S160" s="3">
        <v>3.27</v>
      </c>
      <c r="T160" s="3">
        <v>3.35</v>
      </c>
      <c r="U160" s="3">
        <v>22.5</v>
      </c>
      <c r="V160" s="3">
        <v>56</v>
      </c>
      <c r="W160" s="3">
        <v>4500</v>
      </c>
      <c r="X160" s="3">
        <v>34</v>
      </c>
      <c r="Y160" s="3">
        <v>36</v>
      </c>
      <c r="Z160" s="3">
        <v>7898</v>
      </c>
      <c r="AA160">
        <f t="shared" si="2"/>
        <v>7108.2</v>
      </c>
    </row>
    <row r="161" spans="1:27" ht="14.25" customHeight="1" x14ac:dyDescent="0.35">
      <c r="A161" s="3">
        <v>160</v>
      </c>
      <c r="B161" s="3">
        <v>0</v>
      </c>
      <c r="C161" s="3" t="s">
        <v>181</v>
      </c>
      <c r="D161" s="3" t="s">
        <v>107</v>
      </c>
      <c r="E161" s="3" t="s">
        <v>28</v>
      </c>
      <c r="F161" s="3" t="s">
        <v>34</v>
      </c>
      <c r="G161" s="3" t="s">
        <v>38</v>
      </c>
      <c r="H161" s="3" t="s">
        <v>43</v>
      </c>
      <c r="I161" s="3" t="s">
        <v>32</v>
      </c>
      <c r="J161" s="3">
        <v>95.7</v>
      </c>
      <c r="K161" s="3">
        <v>166.3</v>
      </c>
      <c r="L161" s="3">
        <v>64.400000000000006</v>
      </c>
      <c r="M161" s="3">
        <v>52.8</v>
      </c>
      <c r="N161" s="3">
        <v>2275</v>
      </c>
      <c r="O161" s="3" t="s">
        <v>44</v>
      </c>
      <c r="P161" s="3" t="s">
        <v>34</v>
      </c>
      <c r="Q161" s="3">
        <v>110</v>
      </c>
      <c r="R161" s="3" t="s">
        <v>108</v>
      </c>
      <c r="S161" s="3">
        <v>3.27</v>
      </c>
      <c r="T161" s="3">
        <v>3.35</v>
      </c>
      <c r="U161" s="3">
        <v>22.5</v>
      </c>
      <c r="V161" s="3">
        <v>56</v>
      </c>
      <c r="W161" s="3">
        <v>4500</v>
      </c>
      <c r="X161" s="3">
        <v>38</v>
      </c>
      <c r="Y161" s="3">
        <v>47</v>
      </c>
      <c r="Z161" s="3">
        <v>7788</v>
      </c>
      <c r="AA161">
        <f t="shared" si="2"/>
        <v>7009.2</v>
      </c>
    </row>
    <row r="162" spans="1:27" ht="14.25" hidden="1" customHeight="1" x14ac:dyDescent="0.35">
      <c r="A162" s="3">
        <v>161</v>
      </c>
      <c r="B162" s="3">
        <v>0</v>
      </c>
      <c r="C162" s="3" t="s">
        <v>175</v>
      </c>
      <c r="D162" s="3" t="s">
        <v>27</v>
      </c>
      <c r="E162" s="3" t="s">
        <v>28</v>
      </c>
      <c r="F162" s="3" t="s">
        <v>34</v>
      </c>
      <c r="G162" s="3" t="s">
        <v>42</v>
      </c>
      <c r="H162" s="3" t="s">
        <v>43</v>
      </c>
      <c r="I162" s="3" t="s">
        <v>32</v>
      </c>
      <c r="J162" s="3">
        <v>95.7</v>
      </c>
      <c r="K162" s="3">
        <v>166.3</v>
      </c>
      <c r="L162" s="3">
        <v>64.400000000000006</v>
      </c>
      <c r="M162" s="3">
        <v>53</v>
      </c>
      <c r="N162" s="3">
        <v>2094</v>
      </c>
      <c r="O162" s="3" t="s">
        <v>44</v>
      </c>
      <c r="P162" s="3" t="s">
        <v>34</v>
      </c>
      <c r="Q162" s="3">
        <v>98</v>
      </c>
      <c r="R162" s="3" t="s">
        <v>63</v>
      </c>
      <c r="S162" s="3">
        <v>3.19</v>
      </c>
      <c r="T162" s="3">
        <v>3.03</v>
      </c>
      <c r="U162" s="3">
        <v>9</v>
      </c>
      <c r="V162" s="3">
        <v>70</v>
      </c>
      <c r="W162" s="3">
        <v>4800</v>
      </c>
      <c r="X162" s="3">
        <v>38</v>
      </c>
      <c r="Y162" s="3">
        <v>47</v>
      </c>
      <c r="Z162" s="3">
        <v>7738</v>
      </c>
      <c r="AA162">
        <f t="shared" si="2"/>
        <v>6964.2</v>
      </c>
    </row>
    <row r="163" spans="1:27" ht="14.25" hidden="1" customHeight="1" x14ac:dyDescent="0.35">
      <c r="A163" s="3">
        <v>162</v>
      </c>
      <c r="B163" s="3">
        <v>0</v>
      </c>
      <c r="C163" s="3" t="s">
        <v>181</v>
      </c>
      <c r="D163" s="3" t="s">
        <v>27</v>
      </c>
      <c r="E163" s="3" t="s">
        <v>28</v>
      </c>
      <c r="F163" s="3" t="s">
        <v>34</v>
      </c>
      <c r="G163" s="3" t="s">
        <v>38</v>
      </c>
      <c r="H163" s="3" t="s">
        <v>43</v>
      </c>
      <c r="I163" s="3" t="s">
        <v>32</v>
      </c>
      <c r="J163" s="3">
        <v>95.7</v>
      </c>
      <c r="K163" s="3">
        <v>166.3</v>
      </c>
      <c r="L163" s="3">
        <v>64.400000000000006</v>
      </c>
      <c r="M163" s="3">
        <v>52.8</v>
      </c>
      <c r="N163" s="3">
        <v>2122</v>
      </c>
      <c r="O163" s="3" t="s">
        <v>44</v>
      </c>
      <c r="P163" s="3" t="s">
        <v>34</v>
      </c>
      <c r="Q163" s="3">
        <v>98</v>
      </c>
      <c r="R163" s="3" t="s">
        <v>63</v>
      </c>
      <c r="S163" s="3">
        <v>3.19</v>
      </c>
      <c r="T163" s="3">
        <v>3.03</v>
      </c>
      <c r="U163" s="3">
        <v>9</v>
      </c>
      <c r="V163" s="3">
        <v>70</v>
      </c>
      <c r="W163" s="3">
        <v>4800</v>
      </c>
      <c r="X163" s="3">
        <v>28</v>
      </c>
      <c r="Y163" s="3">
        <v>34</v>
      </c>
      <c r="Z163" s="3">
        <v>8358</v>
      </c>
      <c r="AA163">
        <f t="shared" si="2"/>
        <v>7522.2</v>
      </c>
    </row>
    <row r="164" spans="1:27" ht="14.25" hidden="1" customHeight="1" x14ac:dyDescent="0.35">
      <c r="A164" s="3">
        <v>163</v>
      </c>
      <c r="B164" s="3">
        <v>0</v>
      </c>
      <c r="C164" s="3" t="s">
        <v>180</v>
      </c>
      <c r="D164" s="3" t="s">
        <v>27</v>
      </c>
      <c r="E164" s="3" t="s">
        <v>28</v>
      </c>
      <c r="F164" s="3" t="s">
        <v>34</v>
      </c>
      <c r="G164" s="3" t="s">
        <v>42</v>
      </c>
      <c r="H164" s="3" t="s">
        <v>43</v>
      </c>
      <c r="I164" s="3" t="s">
        <v>32</v>
      </c>
      <c r="J164" s="3">
        <v>95.7</v>
      </c>
      <c r="K164" s="3">
        <v>166.3</v>
      </c>
      <c r="L164" s="3">
        <v>64.400000000000006</v>
      </c>
      <c r="M164" s="3">
        <v>52.8</v>
      </c>
      <c r="N164" s="3">
        <v>2140</v>
      </c>
      <c r="O164" s="3" t="s">
        <v>44</v>
      </c>
      <c r="P164" s="3" t="s">
        <v>34</v>
      </c>
      <c r="Q164" s="3">
        <v>98</v>
      </c>
      <c r="R164" s="3" t="s">
        <v>63</v>
      </c>
      <c r="S164" s="3">
        <v>3.19</v>
      </c>
      <c r="T164" s="3">
        <v>3.03</v>
      </c>
      <c r="U164" s="3">
        <v>9</v>
      </c>
      <c r="V164" s="3">
        <v>70</v>
      </c>
      <c r="W164" s="3">
        <v>4800</v>
      </c>
      <c r="X164" s="3">
        <v>28</v>
      </c>
      <c r="Y164" s="3">
        <v>34</v>
      </c>
      <c r="Z164" s="3">
        <v>9258</v>
      </c>
      <c r="AA164">
        <f t="shared" si="2"/>
        <v>8332.2000000000007</v>
      </c>
    </row>
    <row r="165" spans="1:27" ht="14.25" hidden="1" customHeight="1" x14ac:dyDescent="0.35">
      <c r="A165" s="3">
        <v>164</v>
      </c>
      <c r="B165" s="3">
        <v>1</v>
      </c>
      <c r="C165" s="3" t="s">
        <v>182</v>
      </c>
      <c r="D165" s="3" t="s">
        <v>27</v>
      </c>
      <c r="E165" s="3" t="s">
        <v>28</v>
      </c>
      <c r="F165" s="3" t="s">
        <v>29</v>
      </c>
      <c r="G165" s="3" t="s">
        <v>42</v>
      </c>
      <c r="H165" s="3" t="s">
        <v>31</v>
      </c>
      <c r="I165" s="3" t="s">
        <v>32</v>
      </c>
      <c r="J165" s="3">
        <v>94.5</v>
      </c>
      <c r="K165" s="3">
        <v>168.7</v>
      </c>
      <c r="L165" s="3">
        <v>64</v>
      </c>
      <c r="M165" s="3">
        <v>52.6</v>
      </c>
      <c r="N165" s="3">
        <v>2169</v>
      </c>
      <c r="O165" s="3" t="s">
        <v>44</v>
      </c>
      <c r="P165" s="3" t="s">
        <v>34</v>
      </c>
      <c r="Q165" s="3">
        <v>98</v>
      </c>
      <c r="R165" s="3" t="s">
        <v>63</v>
      </c>
      <c r="S165" s="3">
        <v>3.19</v>
      </c>
      <c r="T165" s="3">
        <v>3.03</v>
      </c>
      <c r="U165" s="3">
        <v>9</v>
      </c>
      <c r="V165" s="3">
        <v>70</v>
      </c>
      <c r="W165" s="3">
        <v>4800</v>
      </c>
      <c r="X165" s="3">
        <v>29</v>
      </c>
      <c r="Y165" s="3">
        <v>34</v>
      </c>
      <c r="Z165" s="3">
        <v>8058</v>
      </c>
      <c r="AA165">
        <f t="shared" si="2"/>
        <v>7252.2</v>
      </c>
    </row>
    <row r="166" spans="1:27" ht="14.25" hidden="1" customHeight="1" x14ac:dyDescent="0.35">
      <c r="A166" s="3">
        <v>165</v>
      </c>
      <c r="B166" s="3">
        <v>1</v>
      </c>
      <c r="C166" s="3" t="s">
        <v>175</v>
      </c>
      <c r="D166" s="3" t="s">
        <v>27</v>
      </c>
      <c r="E166" s="3" t="s">
        <v>28</v>
      </c>
      <c r="F166" s="3" t="s">
        <v>29</v>
      </c>
      <c r="G166" s="3" t="s">
        <v>38</v>
      </c>
      <c r="H166" s="3" t="s">
        <v>31</v>
      </c>
      <c r="I166" s="3" t="s">
        <v>32</v>
      </c>
      <c r="J166" s="3">
        <v>94.5</v>
      </c>
      <c r="K166" s="3">
        <v>168.7</v>
      </c>
      <c r="L166" s="3">
        <v>64</v>
      </c>
      <c r="M166" s="3">
        <v>52.6</v>
      </c>
      <c r="N166" s="3">
        <v>2204</v>
      </c>
      <c r="O166" s="3" t="s">
        <v>44</v>
      </c>
      <c r="P166" s="3" t="s">
        <v>34</v>
      </c>
      <c r="Q166" s="3">
        <v>98</v>
      </c>
      <c r="R166" s="3" t="s">
        <v>63</v>
      </c>
      <c r="S166" s="3">
        <v>3.19</v>
      </c>
      <c r="T166" s="3">
        <v>3.03</v>
      </c>
      <c r="U166" s="3">
        <v>9</v>
      </c>
      <c r="V166" s="3">
        <v>70</v>
      </c>
      <c r="W166" s="3">
        <v>4800</v>
      </c>
      <c r="X166" s="3">
        <v>29</v>
      </c>
      <c r="Y166" s="3">
        <v>34</v>
      </c>
      <c r="Z166" s="3">
        <v>8238</v>
      </c>
      <c r="AA166">
        <f t="shared" si="2"/>
        <v>7414.2</v>
      </c>
    </row>
    <row r="167" spans="1:27" ht="14.25" hidden="1" customHeight="1" x14ac:dyDescent="0.35">
      <c r="A167" s="3">
        <v>166</v>
      </c>
      <c r="B167" s="3">
        <v>1</v>
      </c>
      <c r="C167" s="3" t="s">
        <v>183</v>
      </c>
      <c r="D167" s="3" t="s">
        <v>27</v>
      </c>
      <c r="E167" s="3" t="s">
        <v>28</v>
      </c>
      <c r="F167" s="3" t="s">
        <v>29</v>
      </c>
      <c r="G167" s="3" t="s">
        <v>42</v>
      </c>
      <c r="H167" s="3" t="s">
        <v>31</v>
      </c>
      <c r="I167" s="3" t="s">
        <v>32</v>
      </c>
      <c r="J167" s="3">
        <v>94.5</v>
      </c>
      <c r="K167" s="3">
        <v>168.7</v>
      </c>
      <c r="L167" s="3">
        <v>64</v>
      </c>
      <c r="M167" s="3">
        <v>52.6</v>
      </c>
      <c r="N167" s="3">
        <v>2265</v>
      </c>
      <c r="O167" s="3" t="s">
        <v>33</v>
      </c>
      <c r="P167" s="3" t="s">
        <v>34</v>
      </c>
      <c r="Q167" s="3">
        <v>98</v>
      </c>
      <c r="R167" s="3" t="s">
        <v>35</v>
      </c>
      <c r="S167" s="3">
        <v>3.24</v>
      </c>
      <c r="T167" s="3">
        <v>3.08</v>
      </c>
      <c r="U167" s="3">
        <v>9.4</v>
      </c>
      <c r="V167" s="3">
        <v>112</v>
      </c>
      <c r="W167" s="3">
        <v>6600</v>
      </c>
      <c r="X167" s="3">
        <v>26</v>
      </c>
      <c r="Y167" s="3">
        <v>29</v>
      </c>
      <c r="Z167" s="3">
        <v>9298</v>
      </c>
      <c r="AA167">
        <f t="shared" si="2"/>
        <v>8368.2000000000007</v>
      </c>
    </row>
    <row r="168" spans="1:27" ht="14.25" hidden="1" customHeight="1" x14ac:dyDescent="0.35">
      <c r="A168" s="3">
        <v>167</v>
      </c>
      <c r="B168" s="3">
        <v>1</v>
      </c>
      <c r="C168" s="3" t="s">
        <v>184</v>
      </c>
      <c r="D168" s="3" t="s">
        <v>27</v>
      </c>
      <c r="E168" s="3" t="s">
        <v>28</v>
      </c>
      <c r="F168" s="3" t="s">
        <v>29</v>
      </c>
      <c r="G168" s="3" t="s">
        <v>38</v>
      </c>
      <c r="H168" s="3" t="s">
        <v>31</v>
      </c>
      <c r="I168" s="3" t="s">
        <v>32</v>
      </c>
      <c r="J168" s="3">
        <v>94.5</v>
      </c>
      <c r="K168" s="3">
        <v>168.7</v>
      </c>
      <c r="L168" s="3">
        <v>64</v>
      </c>
      <c r="M168" s="3">
        <v>52.6</v>
      </c>
      <c r="N168" s="3">
        <v>2300</v>
      </c>
      <c r="O168" s="3" t="s">
        <v>33</v>
      </c>
      <c r="P168" s="3" t="s">
        <v>34</v>
      </c>
      <c r="Q168" s="3">
        <v>98</v>
      </c>
      <c r="R168" s="3" t="s">
        <v>35</v>
      </c>
      <c r="S168" s="3">
        <v>3.24</v>
      </c>
      <c r="T168" s="3">
        <v>3.08</v>
      </c>
      <c r="U168" s="3">
        <v>9.4</v>
      </c>
      <c r="V168" s="3">
        <v>112</v>
      </c>
      <c r="W168" s="3">
        <v>6600</v>
      </c>
      <c r="X168" s="3">
        <v>26</v>
      </c>
      <c r="Y168" s="3">
        <v>29</v>
      </c>
      <c r="Z168" s="3">
        <v>9538</v>
      </c>
      <c r="AA168">
        <f t="shared" si="2"/>
        <v>8584.2000000000007</v>
      </c>
    </row>
    <row r="169" spans="1:27" ht="14.25" hidden="1" customHeight="1" x14ac:dyDescent="0.35">
      <c r="A169" s="3">
        <v>168</v>
      </c>
      <c r="B169" s="3">
        <v>2</v>
      </c>
      <c r="C169" s="3" t="s">
        <v>185</v>
      </c>
      <c r="D169" s="3" t="s">
        <v>27</v>
      </c>
      <c r="E169" s="3" t="s">
        <v>28</v>
      </c>
      <c r="F169" s="3" t="s">
        <v>29</v>
      </c>
      <c r="G169" s="3" t="s">
        <v>112</v>
      </c>
      <c r="H169" s="3" t="s">
        <v>31</v>
      </c>
      <c r="I169" s="3" t="s">
        <v>32</v>
      </c>
      <c r="J169" s="3">
        <v>98.4</v>
      </c>
      <c r="K169" s="3">
        <v>176.2</v>
      </c>
      <c r="L169" s="3">
        <v>65.599999999999994</v>
      </c>
      <c r="M169" s="3">
        <v>52</v>
      </c>
      <c r="N169" s="3">
        <v>2540</v>
      </c>
      <c r="O169" s="3" t="s">
        <v>44</v>
      </c>
      <c r="P169" s="3" t="s">
        <v>34</v>
      </c>
      <c r="Q169" s="3">
        <v>146</v>
      </c>
      <c r="R169" s="3" t="s">
        <v>35</v>
      </c>
      <c r="S169" s="3">
        <v>3.62</v>
      </c>
      <c r="T169" s="3">
        <v>3.5</v>
      </c>
      <c r="U169" s="3">
        <v>9.3000000000000007</v>
      </c>
      <c r="V169" s="3">
        <v>116</v>
      </c>
      <c r="W169" s="3">
        <v>4800</v>
      </c>
      <c r="X169" s="3">
        <v>24</v>
      </c>
      <c r="Y169" s="3">
        <v>30</v>
      </c>
      <c r="Z169" s="3">
        <v>8449</v>
      </c>
      <c r="AA169">
        <f t="shared" si="2"/>
        <v>7604.1</v>
      </c>
    </row>
    <row r="170" spans="1:27" ht="14.25" hidden="1" customHeight="1" x14ac:dyDescent="0.35">
      <c r="A170" s="3">
        <v>169</v>
      </c>
      <c r="B170" s="3">
        <v>2</v>
      </c>
      <c r="C170" s="3" t="s">
        <v>181</v>
      </c>
      <c r="D170" s="3" t="s">
        <v>27</v>
      </c>
      <c r="E170" s="3" t="s">
        <v>28</v>
      </c>
      <c r="F170" s="3" t="s">
        <v>29</v>
      </c>
      <c r="G170" s="3" t="s">
        <v>112</v>
      </c>
      <c r="H170" s="3" t="s">
        <v>31</v>
      </c>
      <c r="I170" s="3" t="s">
        <v>32</v>
      </c>
      <c r="J170" s="3">
        <v>98.4</v>
      </c>
      <c r="K170" s="3">
        <v>176.2</v>
      </c>
      <c r="L170" s="3">
        <v>65.599999999999994</v>
      </c>
      <c r="M170" s="3">
        <v>52</v>
      </c>
      <c r="N170" s="3">
        <v>2536</v>
      </c>
      <c r="O170" s="3" t="s">
        <v>44</v>
      </c>
      <c r="P170" s="3" t="s">
        <v>34</v>
      </c>
      <c r="Q170" s="3">
        <v>146</v>
      </c>
      <c r="R170" s="3" t="s">
        <v>35</v>
      </c>
      <c r="S170" s="3">
        <v>3.62</v>
      </c>
      <c r="T170" s="3">
        <v>3.5</v>
      </c>
      <c r="U170" s="3">
        <v>9.3000000000000007</v>
      </c>
      <c r="V170" s="3">
        <v>116</v>
      </c>
      <c r="W170" s="3">
        <v>4800</v>
      </c>
      <c r="X170" s="3">
        <v>24</v>
      </c>
      <c r="Y170" s="3">
        <v>30</v>
      </c>
      <c r="Z170" s="3">
        <v>9639</v>
      </c>
      <c r="AA170">
        <f t="shared" si="2"/>
        <v>8675.1</v>
      </c>
    </row>
    <row r="171" spans="1:27" ht="14.25" hidden="1" customHeight="1" x14ac:dyDescent="0.35">
      <c r="A171" s="3">
        <v>170</v>
      </c>
      <c r="B171" s="3">
        <v>2</v>
      </c>
      <c r="C171" s="3" t="s">
        <v>186</v>
      </c>
      <c r="D171" s="3" t="s">
        <v>27</v>
      </c>
      <c r="E171" s="3" t="s">
        <v>28</v>
      </c>
      <c r="F171" s="3" t="s">
        <v>29</v>
      </c>
      <c r="G171" s="3" t="s">
        <v>38</v>
      </c>
      <c r="H171" s="3" t="s">
        <v>31</v>
      </c>
      <c r="I171" s="3" t="s">
        <v>32</v>
      </c>
      <c r="J171" s="3">
        <v>98.4</v>
      </c>
      <c r="K171" s="3">
        <v>176.2</v>
      </c>
      <c r="L171" s="3">
        <v>65.599999999999994</v>
      </c>
      <c r="M171" s="3">
        <v>52</v>
      </c>
      <c r="N171" s="3">
        <v>2551</v>
      </c>
      <c r="O171" s="3" t="s">
        <v>44</v>
      </c>
      <c r="P171" s="3" t="s">
        <v>34</v>
      </c>
      <c r="Q171" s="3">
        <v>146</v>
      </c>
      <c r="R171" s="3" t="s">
        <v>35</v>
      </c>
      <c r="S171" s="3">
        <v>3.62</v>
      </c>
      <c r="T171" s="3">
        <v>3.5</v>
      </c>
      <c r="U171" s="3">
        <v>9.3000000000000007</v>
      </c>
      <c r="V171" s="3">
        <v>116</v>
      </c>
      <c r="W171" s="3">
        <v>4800</v>
      </c>
      <c r="X171" s="3">
        <v>24</v>
      </c>
      <c r="Y171" s="3">
        <v>30</v>
      </c>
      <c r="Z171" s="3">
        <v>9989</v>
      </c>
      <c r="AA171">
        <f t="shared" si="2"/>
        <v>8990.1</v>
      </c>
    </row>
    <row r="172" spans="1:27" ht="14.25" hidden="1" customHeight="1" x14ac:dyDescent="0.35">
      <c r="A172" s="3">
        <v>171</v>
      </c>
      <c r="B172" s="3">
        <v>2</v>
      </c>
      <c r="C172" s="3" t="s">
        <v>187</v>
      </c>
      <c r="D172" s="3" t="s">
        <v>27</v>
      </c>
      <c r="E172" s="3" t="s">
        <v>28</v>
      </c>
      <c r="F172" s="3" t="s">
        <v>29</v>
      </c>
      <c r="G172" s="3" t="s">
        <v>112</v>
      </c>
      <c r="H172" s="3" t="s">
        <v>31</v>
      </c>
      <c r="I172" s="3" t="s">
        <v>32</v>
      </c>
      <c r="J172" s="3">
        <v>98.4</v>
      </c>
      <c r="K172" s="3">
        <v>176.2</v>
      </c>
      <c r="L172" s="3">
        <v>65.599999999999994</v>
      </c>
      <c r="M172" s="3">
        <v>52</v>
      </c>
      <c r="N172" s="3">
        <v>2679</v>
      </c>
      <c r="O172" s="3" t="s">
        <v>44</v>
      </c>
      <c r="P172" s="3" t="s">
        <v>34</v>
      </c>
      <c r="Q172" s="3">
        <v>146</v>
      </c>
      <c r="R172" s="3" t="s">
        <v>35</v>
      </c>
      <c r="S172" s="3">
        <v>3.62</v>
      </c>
      <c r="T172" s="3">
        <v>3.5</v>
      </c>
      <c r="U172" s="3">
        <v>9.3000000000000007</v>
      </c>
      <c r="V172" s="3">
        <v>116</v>
      </c>
      <c r="W172" s="3">
        <v>4800</v>
      </c>
      <c r="X172" s="3">
        <v>24</v>
      </c>
      <c r="Y172" s="3">
        <v>30</v>
      </c>
      <c r="Z172" s="3">
        <v>11199</v>
      </c>
      <c r="AA172">
        <f t="shared" si="2"/>
        <v>10079.1</v>
      </c>
    </row>
    <row r="173" spans="1:27" ht="14.25" hidden="1" customHeight="1" x14ac:dyDescent="0.35">
      <c r="A173" s="3">
        <v>172</v>
      </c>
      <c r="B173" s="3">
        <v>2</v>
      </c>
      <c r="C173" s="3" t="s">
        <v>181</v>
      </c>
      <c r="D173" s="3" t="s">
        <v>27</v>
      </c>
      <c r="E173" s="3" t="s">
        <v>28</v>
      </c>
      <c r="F173" s="3" t="s">
        <v>29</v>
      </c>
      <c r="G173" s="3" t="s">
        <v>38</v>
      </c>
      <c r="H173" s="3" t="s">
        <v>31</v>
      </c>
      <c r="I173" s="3" t="s">
        <v>32</v>
      </c>
      <c r="J173" s="3">
        <v>98.4</v>
      </c>
      <c r="K173" s="3">
        <v>176.2</v>
      </c>
      <c r="L173" s="3">
        <v>65.599999999999994</v>
      </c>
      <c r="M173" s="3">
        <v>52</v>
      </c>
      <c r="N173" s="3">
        <v>2714</v>
      </c>
      <c r="O173" s="3" t="s">
        <v>44</v>
      </c>
      <c r="P173" s="3" t="s">
        <v>34</v>
      </c>
      <c r="Q173" s="3">
        <v>146</v>
      </c>
      <c r="R173" s="3" t="s">
        <v>35</v>
      </c>
      <c r="S173" s="3">
        <v>3.62</v>
      </c>
      <c r="T173" s="3">
        <v>3.5</v>
      </c>
      <c r="U173" s="3">
        <v>9.3000000000000007</v>
      </c>
      <c r="V173" s="3">
        <v>116</v>
      </c>
      <c r="W173" s="3">
        <v>4800</v>
      </c>
      <c r="X173" s="3">
        <v>24</v>
      </c>
      <c r="Y173" s="3">
        <v>30</v>
      </c>
      <c r="Z173" s="3">
        <v>11549</v>
      </c>
      <c r="AA173">
        <f t="shared" si="2"/>
        <v>10394.1</v>
      </c>
    </row>
    <row r="174" spans="1:27" ht="14.25" hidden="1" customHeight="1" x14ac:dyDescent="0.35">
      <c r="A174" s="3">
        <v>173</v>
      </c>
      <c r="B174" s="3">
        <v>2</v>
      </c>
      <c r="C174" s="3" t="s">
        <v>188</v>
      </c>
      <c r="D174" s="3" t="s">
        <v>27</v>
      </c>
      <c r="E174" s="3" t="s">
        <v>28</v>
      </c>
      <c r="F174" s="3" t="s">
        <v>29</v>
      </c>
      <c r="G174" s="3" t="s">
        <v>30</v>
      </c>
      <c r="H174" s="3" t="s">
        <v>31</v>
      </c>
      <c r="I174" s="3" t="s">
        <v>32</v>
      </c>
      <c r="J174" s="3">
        <v>98.4</v>
      </c>
      <c r="K174" s="3">
        <v>176.2</v>
      </c>
      <c r="L174" s="3">
        <v>65.599999999999994</v>
      </c>
      <c r="M174" s="3">
        <v>53</v>
      </c>
      <c r="N174" s="3">
        <v>2975</v>
      </c>
      <c r="O174" s="3" t="s">
        <v>44</v>
      </c>
      <c r="P174" s="3" t="s">
        <v>34</v>
      </c>
      <c r="Q174" s="3">
        <v>146</v>
      </c>
      <c r="R174" s="3" t="s">
        <v>35</v>
      </c>
      <c r="S174" s="3">
        <v>3.62</v>
      </c>
      <c r="T174" s="3">
        <v>3.5</v>
      </c>
      <c r="U174" s="3">
        <v>9.3000000000000007</v>
      </c>
      <c r="V174" s="3">
        <v>116</v>
      </c>
      <c r="W174" s="3">
        <v>4800</v>
      </c>
      <c r="X174" s="3">
        <v>24</v>
      </c>
      <c r="Y174" s="3">
        <v>30</v>
      </c>
      <c r="Z174" s="3">
        <v>17669</v>
      </c>
      <c r="AA174">
        <f t="shared" si="2"/>
        <v>15902.1</v>
      </c>
    </row>
    <row r="175" spans="1:27" ht="14.25" hidden="1" customHeight="1" x14ac:dyDescent="0.35">
      <c r="A175" s="3">
        <v>174</v>
      </c>
      <c r="B175" s="3">
        <v>-1</v>
      </c>
      <c r="C175" s="3" t="s">
        <v>181</v>
      </c>
      <c r="D175" s="3" t="s">
        <v>27</v>
      </c>
      <c r="E175" s="3" t="s">
        <v>28</v>
      </c>
      <c r="F175" s="3" t="s">
        <v>34</v>
      </c>
      <c r="G175" s="3" t="s">
        <v>42</v>
      </c>
      <c r="H175" s="3" t="s">
        <v>43</v>
      </c>
      <c r="I175" s="3" t="s">
        <v>32</v>
      </c>
      <c r="J175" s="3">
        <v>102.4</v>
      </c>
      <c r="K175" s="3">
        <v>175.6</v>
      </c>
      <c r="L175" s="3">
        <v>66.5</v>
      </c>
      <c r="M175" s="3">
        <v>54.9</v>
      </c>
      <c r="N175" s="3">
        <v>2326</v>
      </c>
      <c r="O175" s="3" t="s">
        <v>44</v>
      </c>
      <c r="P175" s="3" t="s">
        <v>34</v>
      </c>
      <c r="Q175" s="3">
        <v>122</v>
      </c>
      <c r="R175" s="3" t="s">
        <v>35</v>
      </c>
      <c r="S175" s="3">
        <v>3.31</v>
      </c>
      <c r="T175" s="3">
        <v>3.54</v>
      </c>
      <c r="U175" s="3">
        <v>8.6999999999999993</v>
      </c>
      <c r="V175" s="3">
        <v>92</v>
      </c>
      <c r="W175" s="3">
        <v>4200</v>
      </c>
      <c r="X175" s="3">
        <v>29</v>
      </c>
      <c r="Y175" s="3">
        <v>34</v>
      </c>
      <c r="Z175" s="3">
        <v>8948</v>
      </c>
      <c r="AA175">
        <f t="shared" si="2"/>
        <v>8053.2</v>
      </c>
    </row>
    <row r="176" spans="1:27" ht="14.25" customHeight="1" x14ac:dyDescent="0.35">
      <c r="A176" s="3">
        <v>175</v>
      </c>
      <c r="B176" s="3">
        <v>-1</v>
      </c>
      <c r="C176" s="3" t="s">
        <v>189</v>
      </c>
      <c r="D176" s="3" t="s">
        <v>107</v>
      </c>
      <c r="E176" s="3" t="s">
        <v>52</v>
      </c>
      <c r="F176" s="3" t="s">
        <v>34</v>
      </c>
      <c r="G176" s="3" t="s">
        <v>42</v>
      </c>
      <c r="H176" s="3" t="s">
        <v>43</v>
      </c>
      <c r="I176" s="3" t="s">
        <v>32</v>
      </c>
      <c r="J176" s="3">
        <v>102.4</v>
      </c>
      <c r="K176" s="3">
        <v>175.6</v>
      </c>
      <c r="L176" s="3">
        <v>66.5</v>
      </c>
      <c r="M176" s="3">
        <v>54.9</v>
      </c>
      <c r="N176" s="3">
        <v>2480</v>
      </c>
      <c r="O176" s="3" t="s">
        <v>44</v>
      </c>
      <c r="P176" s="3" t="s">
        <v>34</v>
      </c>
      <c r="Q176" s="3">
        <v>110</v>
      </c>
      <c r="R176" s="3" t="s">
        <v>108</v>
      </c>
      <c r="S176" s="3">
        <v>3.27</v>
      </c>
      <c r="T176" s="3">
        <v>3.35</v>
      </c>
      <c r="U176" s="3">
        <v>22.5</v>
      </c>
      <c r="V176" s="3">
        <v>73</v>
      </c>
      <c r="W176" s="3">
        <v>4500</v>
      </c>
      <c r="X176" s="3">
        <v>30</v>
      </c>
      <c r="Y176" s="3">
        <v>33</v>
      </c>
      <c r="Z176" s="3">
        <v>10698</v>
      </c>
      <c r="AA176">
        <f t="shared" si="2"/>
        <v>9628.2000000000007</v>
      </c>
    </row>
    <row r="177" spans="1:27" ht="14.25" hidden="1" customHeight="1" x14ac:dyDescent="0.35">
      <c r="A177" s="3">
        <v>176</v>
      </c>
      <c r="B177" s="3">
        <v>-1</v>
      </c>
      <c r="C177" s="3" t="s">
        <v>175</v>
      </c>
      <c r="D177" s="3" t="s">
        <v>27</v>
      </c>
      <c r="E177" s="3" t="s">
        <v>28</v>
      </c>
      <c r="F177" s="3" t="s">
        <v>34</v>
      </c>
      <c r="G177" s="3" t="s">
        <v>38</v>
      </c>
      <c r="H177" s="3" t="s">
        <v>43</v>
      </c>
      <c r="I177" s="3" t="s">
        <v>32</v>
      </c>
      <c r="J177" s="3">
        <v>102.4</v>
      </c>
      <c r="K177" s="3">
        <v>175.6</v>
      </c>
      <c r="L177" s="3">
        <v>66.5</v>
      </c>
      <c r="M177" s="3">
        <v>53.9</v>
      </c>
      <c r="N177" s="3">
        <v>2414</v>
      </c>
      <c r="O177" s="3" t="s">
        <v>44</v>
      </c>
      <c r="P177" s="3" t="s">
        <v>34</v>
      </c>
      <c r="Q177" s="3">
        <v>122</v>
      </c>
      <c r="R177" s="3" t="s">
        <v>35</v>
      </c>
      <c r="S177" s="3">
        <v>3.31</v>
      </c>
      <c r="T177" s="3">
        <v>3.54</v>
      </c>
      <c r="U177" s="3">
        <v>8.6999999999999993</v>
      </c>
      <c r="V177" s="3">
        <v>92</v>
      </c>
      <c r="W177" s="3">
        <v>4200</v>
      </c>
      <c r="X177" s="3">
        <v>27</v>
      </c>
      <c r="Y177" s="3">
        <v>32</v>
      </c>
      <c r="Z177" s="3">
        <v>9988</v>
      </c>
      <c r="AA177">
        <f t="shared" si="2"/>
        <v>8989.2000000000007</v>
      </c>
    </row>
    <row r="178" spans="1:27" ht="14.25" hidden="1" customHeight="1" x14ac:dyDescent="0.35">
      <c r="A178" s="3">
        <v>177</v>
      </c>
      <c r="B178" s="3">
        <v>-1</v>
      </c>
      <c r="C178" s="3" t="s">
        <v>181</v>
      </c>
      <c r="D178" s="3" t="s">
        <v>27</v>
      </c>
      <c r="E178" s="3" t="s">
        <v>28</v>
      </c>
      <c r="F178" s="3" t="s">
        <v>34</v>
      </c>
      <c r="G178" s="3" t="s">
        <v>42</v>
      </c>
      <c r="H178" s="3" t="s">
        <v>43</v>
      </c>
      <c r="I178" s="3" t="s">
        <v>32</v>
      </c>
      <c r="J178" s="3">
        <v>102.4</v>
      </c>
      <c r="K178" s="3">
        <v>175.6</v>
      </c>
      <c r="L178" s="3">
        <v>66.5</v>
      </c>
      <c r="M178" s="3">
        <v>54.9</v>
      </c>
      <c r="N178" s="3">
        <v>2414</v>
      </c>
      <c r="O178" s="3" t="s">
        <v>44</v>
      </c>
      <c r="P178" s="3" t="s">
        <v>34</v>
      </c>
      <c r="Q178" s="3">
        <v>122</v>
      </c>
      <c r="R178" s="3" t="s">
        <v>35</v>
      </c>
      <c r="S178" s="3">
        <v>3.31</v>
      </c>
      <c r="T178" s="3">
        <v>3.54</v>
      </c>
      <c r="U178" s="3">
        <v>8.6999999999999993</v>
      </c>
      <c r="V178" s="3">
        <v>92</v>
      </c>
      <c r="W178" s="3">
        <v>4200</v>
      </c>
      <c r="X178" s="3">
        <v>27</v>
      </c>
      <c r="Y178" s="3">
        <v>32</v>
      </c>
      <c r="Z178" s="3">
        <v>10898</v>
      </c>
      <c r="AA178">
        <f t="shared" si="2"/>
        <v>9808.2000000000007</v>
      </c>
    </row>
    <row r="179" spans="1:27" ht="14.25" hidden="1" customHeight="1" x14ac:dyDescent="0.35">
      <c r="A179" s="3">
        <v>178</v>
      </c>
      <c r="B179" s="3">
        <v>-1</v>
      </c>
      <c r="C179" s="3" t="s">
        <v>180</v>
      </c>
      <c r="D179" s="3" t="s">
        <v>27</v>
      </c>
      <c r="E179" s="3" t="s">
        <v>28</v>
      </c>
      <c r="F179" s="3" t="s">
        <v>34</v>
      </c>
      <c r="G179" s="3" t="s">
        <v>38</v>
      </c>
      <c r="H179" s="3" t="s">
        <v>43</v>
      </c>
      <c r="I179" s="3" t="s">
        <v>32</v>
      </c>
      <c r="J179" s="3">
        <v>102.4</v>
      </c>
      <c r="K179" s="3">
        <v>175.6</v>
      </c>
      <c r="L179" s="3">
        <v>66.5</v>
      </c>
      <c r="M179" s="3">
        <v>53.9</v>
      </c>
      <c r="N179" s="3">
        <v>2458</v>
      </c>
      <c r="O179" s="3" t="s">
        <v>44</v>
      </c>
      <c r="P179" s="3" t="s">
        <v>34</v>
      </c>
      <c r="Q179" s="3">
        <v>122</v>
      </c>
      <c r="R179" s="3" t="s">
        <v>35</v>
      </c>
      <c r="S179" s="3">
        <v>3.31</v>
      </c>
      <c r="T179" s="3">
        <v>3.54</v>
      </c>
      <c r="U179" s="3">
        <v>8.6999999999999993</v>
      </c>
      <c r="V179" s="3">
        <v>92</v>
      </c>
      <c r="W179" s="3">
        <v>4200</v>
      </c>
      <c r="X179" s="3">
        <v>27</v>
      </c>
      <c r="Y179" s="3">
        <v>32</v>
      </c>
      <c r="Z179" s="3">
        <v>11248</v>
      </c>
      <c r="AA179">
        <f t="shared" si="2"/>
        <v>10123.200000000001</v>
      </c>
    </row>
    <row r="180" spans="1:27" ht="14.25" hidden="1" customHeight="1" x14ac:dyDescent="0.35">
      <c r="A180" s="3">
        <v>179</v>
      </c>
      <c r="B180" s="3">
        <v>3</v>
      </c>
      <c r="C180" s="3" t="s">
        <v>182</v>
      </c>
      <c r="D180" s="3" t="s">
        <v>27</v>
      </c>
      <c r="E180" s="3" t="s">
        <v>28</v>
      </c>
      <c r="F180" s="3" t="s">
        <v>29</v>
      </c>
      <c r="G180" s="3" t="s">
        <v>38</v>
      </c>
      <c r="H180" s="3" t="s">
        <v>31</v>
      </c>
      <c r="I180" s="3" t="s">
        <v>32</v>
      </c>
      <c r="J180" s="3">
        <v>102.9</v>
      </c>
      <c r="K180" s="3">
        <v>183.5</v>
      </c>
      <c r="L180" s="3">
        <v>67.7</v>
      </c>
      <c r="M180" s="3">
        <v>52</v>
      </c>
      <c r="N180" s="3">
        <v>2976</v>
      </c>
      <c r="O180" s="3" t="s">
        <v>33</v>
      </c>
      <c r="P180" s="3" t="s">
        <v>40</v>
      </c>
      <c r="Q180" s="3">
        <v>171</v>
      </c>
      <c r="R180" s="3" t="s">
        <v>35</v>
      </c>
      <c r="S180" s="3">
        <v>3.27</v>
      </c>
      <c r="T180" s="3">
        <v>3.35</v>
      </c>
      <c r="U180" s="3">
        <v>9.3000000000000007</v>
      </c>
      <c r="V180" s="3">
        <v>161</v>
      </c>
      <c r="W180" s="3">
        <v>5200</v>
      </c>
      <c r="X180" s="3">
        <v>20</v>
      </c>
      <c r="Y180" s="3">
        <v>24</v>
      </c>
      <c r="Z180" s="3">
        <v>16558</v>
      </c>
      <c r="AA180">
        <f t="shared" si="2"/>
        <v>14902.2</v>
      </c>
    </row>
    <row r="181" spans="1:27" ht="14.25" hidden="1" customHeight="1" x14ac:dyDescent="0.35">
      <c r="A181" s="3">
        <v>180</v>
      </c>
      <c r="B181" s="3">
        <v>3</v>
      </c>
      <c r="C181" s="3" t="s">
        <v>175</v>
      </c>
      <c r="D181" s="3" t="s">
        <v>27</v>
      </c>
      <c r="E181" s="3" t="s">
        <v>28</v>
      </c>
      <c r="F181" s="3" t="s">
        <v>29</v>
      </c>
      <c r="G181" s="3" t="s">
        <v>38</v>
      </c>
      <c r="H181" s="3" t="s">
        <v>31</v>
      </c>
      <c r="I181" s="3" t="s">
        <v>32</v>
      </c>
      <c r="J181" s="3">
        <v>102.9</v>
      </c>
      <c r="K181" s="3">
        <v>183.5</v>
      </c>
      <c r="L181" s="3">
        <v>67.7</v>
      </c>
      <c r="M181" s="3">
        <v>52</v>
      </c>
      <c r="N181" s="3">
        <v>3016</v>
      </c>
      <c r="O181" s="3" t="s">
        <v>33</v>
      </c>
      <c r="P181" s="3" t="s">
        <v>40</v>
      </c>
      <c r="Q181" s="3">
        <v>171</v>
      </c>
      <c r="R181" s="3" t="s">
        <v>35</v>
      </c>
      <c r="S181" s="3">
        <v>3.27</v>
      </c>
      <c r="T181" s="3">
        <v>3.35</v>
      </c>
      <c r="U181" s="3">
        <v>9.3000000000000007</v>
      </c>
      <c r="V181" s="3">
        <v>161</v>
      </c>
      <c r="W181" s="3">
        <v>5200</v>
      </c>
      <c r="X181" s="3">
        <v>19</v>
      </c>
      <c r="Y181" s="3">
        <v>24</v>
      </c>
      <c r="Z181" s="3">
        <v>15998</v>
      </c>
      <c r="AA181">
        <f t="shared" si="2"/>
        <v>14398.2</v>
      </c>
    </row>
    <row r="182" spans="1:27" ht="14.25" hidden="1" customHeight="1" x14ac:dyDescent="0.35">
      <c r="A182" s="3">
        <v>181</v>
      </c>
      <c r="B182" s="3">
        <v>-1</v>
      </c>
      <c r="C182" s="3" t="s">
        <v>186</v>
      </c>
      <c r="D182" s="3" t="s">
        <v>27</v>
      </c>
      <c r="E182" s="3" t="s">
        <v>28</v>
      </c>
      <c r="F182" s="3" t="s">
        <v>34</v>
      </c>
      <c r="G182" s="3" t="s">
        <v>42</v>
      </c>
      <c r="H182" s="3" t="s">
        <v>31</v>
      </c>
      <c r="I182" s="3" t="s">
        <v>32</v>
      </c>
      <c r="J182" s="3">
        <v>104.5</v>
      </c>
      <c r="K182" s="3">
        <v>187.8</v>
      </c>
      <c r="L182" s="3">
        <v>66.5</v>
      </c>
      <c r="M182" s="3">
        <v>54.1</v>
      </c>
      <c r="N182" s="3">
        <v>3131</v>
      </c>
      <c r="O182" s="3" t="s">
        <v>33</v>
      </c>
      <c r="P182" s="3" t="s">
        <v>40</v>
      </c>
      <c r="Q182" s="3">
        <v>171</v>
      </c>
      <c r="R182" s="3" t="s">
        <v>35</v>
      </c>
      <c r="S182" s="3">
        <v>3.27</v>
      </c>
      <c r="T182" s="3">
        <v>3.35</v>
      </c>
      <c r="U182" s="3">
        <v>9.1999999999999993</v>
      </c>
      <c r="V182" s="3">
        <v>156</v>
      </c>
      <c r="W182" s="3">
        <v>5200</v>
      </c>
      <c r="X182" s="3">
        <v>20</v>
      </c>
      <c r="Y182" s="3">
        <v>24</v>
      </c>
      <c r="Z182" s="3">
        <v>15690</v>
      </c>
      <c r="AA182">
        <f t="shared" si="2"/>
        <v>14121</v>
      </c>
    </row>
    <row r="183" spans="1:27" ht="14.25" hidden="1" customHeight="1" x14ac:dyDescent="0.35">
      <c r="A183" s="3">
        <v>182</v>
      </c>
      <c r="B183" s="3">
        <v>-1</v>
      </c>
      <c r="C183" s="3" t="s">
        <v>190</v>
      </c>
      <c r="D183" s="3" t="s">
        <v>27</v>
      </c>
      <c r="E183" s="3" t="s">
        <v>28</v>
      </c>
      <c r="F183" s="3" t="s">
        <v>34</v>
      </c>
      <c r="G183" s="3" t="s">
        <v>50</v>
      </c>
      <c r="H183" s="3" t="s">
        <v>31</v>
      </c>
      <c r="I183" s="3" t="s">
        <v>32</v>
      </c>
      <c r="J183" s="3">
        <v>104.5</v>
      </c>
      <c r="K183" s="3">
        <v>187.8</v>
      </c>
      <c r="L183" s="3">
        <v>66.5</v>
      </c>
      <c r="M183" s="3">
        <v>54.1</v>
      </c>
      <c r="N183" s="3">
        <v>3151</v>
      </c>
      <c r="O183" s="3" t="s">
        <v>33</v>
      </c>
      <c r="P183" s="3" t="s">
        <v>40</v>
      </c>
      <c r="Q183" s="3">
        <v>161</v>
      </c>
      <c r="R183" s="3" t="s">
        <v>35</v>
      </c>
      <c r="S183" s="3">
        <v>3.27</v>
      </c>
      <c r="T183" s="3">
        <v>3.35</v>
      </c>
      <c r="U183" s="3">
        <v>9.1999999999999993</v>
      </c>
      <c r="V183" s="3">
        <v>156</v>
      </c>
      <c r="W183" s="3">
        <v>5200</v>
      </c>
      <c r="X183" s="3">
        <v>19</v>
      </c>
      <c r="Y183" s="3">
        <v>24</v>
      </c>
      <c r="Z183" s="3">
        <v>15750</v>
      </c>
      <c r="AA183">
        <f t="shared" si="2"/>
        <v>14175</v>
      </c>
    </row>
    <row r="184" spans="1:27" ht="14.25" customHeight="1" x14ac:dyDescent="0.35">
      <c r="A184" s="3">
        <v>183</v>
      </c>
      <c r="B184" s="3">
        <v>2</v>
      </c>
      <c r="C184" s="3" t="s">
        <v>191</v>
      </c>
      <c r="D184" s="3" t="s">
        <v>107</v>
      </c>
      <c r="E184" s="3" t="s">
        <v>28</v>
      </c>
      <c r="F184" s="3" t="s">
        <v>29</v>
      </c>
      <c r="G184" s="3" t="s">
        <v>42</v>
      </c>
      <c r="H184" s="3" t="s">
        <v>43</v>
      </c>
      <c r="I184" s="3" t="s">
        <v>32</v>
      </c>
      <c r="J184" s="3">
        <v>97.3</v>
      </c>
      <c r="K184" s="3">
        <v>171.7</v>
      </c>
      <c r="L184" s="3">
        <v>65.5</v>
      </c>
      <c r="M184" s="3">
        <v>55.7</v>
      </c>
      <c r="N184" s="3">
        <v>2261</v>
      </c>
      <c r="O184" s="3" t="s">
        <v>44</v>
      </c>
      <c r="P184" s="3" t="s">
        <v>34</v>
      </c>
      <c r="Q184" s="3">
        <v>97</v>
      </c>
      <c r="R184" s="3" t="s">
        <v>108</v>
      </c>
      <c r="S184" s="3">
        <v>3.01</v>
      </c>
      <c r="T184" s="3">
        <v>3.4</v>
      </c>
      <c r="U184" s="3">
        <v>23</v>
      </c>
      <c r="V184" s="3">
        <v>52</v>
      </c>
      <c r="W184" s="3">
        <v>4800</v>
      </c>
      <c r="X184" s="3">
        <v>37</v>
      </c>
      <c r="Y184" s="3">
        <v>46</v>
      </c>
      <c r="Z184" s="3">
        <v>7775</v>
      </c>
      <c r="AA184">
        <f t="shared" si="2"/>
        <v>6997.5</v>
      </c>
    </row>
    <row r="185" spans="1:27" ht="14.25" hidden="1" customHeight="1" x14ac:dyDescent="0.35">
      <c r="A185" s="3">
        <v>184</v>
      </c>
      <c r="B185" s="3">
        <v>2</v>
      </c>
      <c r="C185" s="3" t="s">
        <v>192</v>
      </c>
      <c r="D185" s="3" t="s">
        <v>27</v>
      </c>
      <c r="E185" s="3" t="s">
        <v>28</v>
      </c>
      <c r="F185" s="3" t="s">
        <v>29</v>
      </c>
      <c r="G185" s="3" t="s">
        <v>42</v>
      </c>
      <c r="H185" s="3" t="s">
        <v>43</v>
      </c>
      <c r="I185" s="3" t="s">
        <v>32</v>
      </c>
      <c r="J185" s="3">
        <v>97.3</v>
      </c>
      <c r="K185" s="3">
        <v>171.7</v>
      </c>
      <c r="L185" s="3">
        <v>65.5</v>
      </c>
      <c r="M185" s="3">
        <v>55.7</v>
      </c>
      <c r="N185" s="3">
        <v>2209</v>
      </c>
      <c r="O185" s="3" t="s">
        <v>44</v>
      </c>
      <c r="P185" s="3" t="s">
        <v>34</v>
      </c>
      <c r="Q185" s="3">
        <v>109</v>
      </c>
      <c r="R185" s="3" t="s">
        <v>35</v>
      </c>
      <c r="S185" s="3">
        <v>3.19</v>
      </c>
      <c r="T185" s="3">
        <v>3.4</v>
      </c>
      <c r="U185" s="3">
        <v>9</v>
      </c>
      <c r="V185" s="3">
        <v>85</v>
      </c>
      <c r="W185" s="3">
        <v>5250</v>
      </c>
      <c r="X185" s="3">
        <v>27</v>
      </c>
      <c r="Y185" s="3">
        <v>34</v>
      </c>
      <c r="Z185" s="3">
        <v>7975</v>
      </c>
      <c r="AA185">
        <f t="shared" si="2"/>
        <v>7177.5</v>
      </c>
    </row>
    <row r="186" spans="1:27" ht="14.25" customHeight="1" x14ac:dyDescent="0.35">
      <c r="A186" s="3">
        <v>185</v>
      </c>
      <c r="B186" s="3">
        <v>2</v>
      </c>
      <c r="C186" s="3" t="s">
        <v>193</v>
      </c>
      <c r="D186" s="3" t="s">
        <v>107</v>
      </c>
      <c r="E186" s="3" t="s">
        <v>28</v>
      </c>
      <c r="F186" s="3" t="s">
        <v>34</v>
      </c>
      <c r="G186" s="3" t="s">
        <v>42</v>
      </c>
      <c r="H186" s="3" t="s">
        <v>43</v>
      </c>
      <c r="I186" s="3" t="s">
        <v>32</v>
      </c>
      <c r="J186" s="3">
        <v>97.3</v>
      </c>
      <c r="K186" s="3">
        <v>171.7</v>
      </c>
      <c r="L186" s="3">
        <v>65.5</v>
      </c>
      <c r="M186" s="3">
        <v>55.7</v>
      </c>
      <c r="N186" s="3">
        <v>2264</v>
      </c>
      <c r="O186" s="3" t="s">
        <v>44</v>
      </c>
      <c r="P186" s="3" t="s">
        <v>34</v>
      </c>
      <c r="Q186" s="3">
        <v>97</v>
      </c>
      <c r="R186" s="3" t="s">
        <v>108</v>
      </c>
      <c r="S186" s="3">
        <v>3.01</v>
      </c>
      <c r="T186" s="3">
        <v>3.4</v>
      </c>
      <c r="U186" s="3">
        <v>23</v>
      </c>
      <c r="V186" s="3">
        <v>52</v>
      </c>
      <c r="W186" s="3">
        <v>4800</v>
      </c>
      <c r="X186" s="3">
        <v>37</v>
      </c>
      <c r="Y186" s="3">
        <v>46</v>
      </c>
      <c r="Z186" s="3">
        <v>7995</v>
      </c>
      <c r="AA186">
        <f t="shared" si="2"/>
        <v>7195.5</v>
      </c>
    </row>
    <row r="187" spans="1:27" ht="14.25" hidden="1" customHeight="1" x14ac:dyDescent="0.35">
      <c r="A187" s="3">
        <v>186</v>
      </c>
      <c r="B187" s="3">
        <v>2</v>
      </c>
      <c r="C187" s="3" t="s">
        <v>194</v>
      </c>
      <c r="D187" s="3" t="s">
        <v>27</v>
      </c>
      <c r="E187" s="3" t="s">
        <v>28</v>
      </c>
      <c r="F187" s="3" t="s">
        <v>34</v>
      </c>
      <c r="G187" s="3" t="s">
        <v>42</v>
      </c>
      <c r="H187" s="3" t="s">
        <v>43</v>
      </c>
      <c r="I187" s="3" t="s">
        <v>32</v>
      </c>
      <c r="J187" s="3">
        <v>97.3</v>
      </c>
      <c r="K187" s="3">
        <v>171.7</v>
      </c>
      <c r="L187" s="3">
        <v>65.5</v>
      </c>
      <c r="M187" s="3">
        <v>55.7</v>
      </c>
      <c r="N187" s="3">
        <v>2212</v>
      </c>
      <c r="O187" s="3" t="s">
        <v>44</v>
      </c>
      <c r="P187" s="3" t="s">
        <v>34</v>
      </c>
      <c r="Q187" s="3">
        <v>109</v>
      </c>
      <c r="R187" s="3" t="s">
        <v>35</v>
      </c>
      <c r="S187" s="3">
        <v>3.19</v>
      </c>
      <c r="T187" s="3">
        <v>3.4</v>
      </c>
      <c r="U187" s="3">
        <v>9</v>
      </c>
      <c r="V187" s="3">
        <v>85</v>
      </c>
      <c r="W187" s="3">
        <v>5250</v>
      </c>
      <c r="X187" s="3">
        <v>27</v>
      </c>
      <c r="Y187" s="3">
        <v>34</v>
      </c>
      <c r="Z187" s="3">
        <v>8195</v>
      </c>
      <c r="AA187">
        <f t="shared" si="2"/>
        <v>7375.5</v>
      </c>
    </row>
    <row r="188" spans="1:27" ht="14.25" hidden="1" customHeight="1" x14ac:dyDescent="0.35">
      <c r="A188" s="3">
        <v>187</v>
      </c>
      <c r="B188" s="3">
        <v>2</v>
      </c>
      <c r="C188" s="3" t="s">
        <v>195</v>
      </c>
      <c r="D188" s="3" t="s">
        <v>27</v>
      </c>
      <c r="E188" s="3" t="s">
        <v>28</v>
      </c>
      <c r="F188" s="3" t="s">
        <v>34</v>
      </c>
      <c r="G188" s="3" t="s">
        <v>42</v>
      </c>
      <c r="H188" s="3" t="s">
        <v>43</v>
      </c>
      <c r="I188" s="3" t="s">
        <v>32</v>
      </c>
      <c r="J188" s="3">
        <v>97.3</v>
      </c>
      <c r="K188" s="3">
        <v>171.7</v>
      </c>
      <c r="L188" s="3">
        <v>65.5</v>
      </c>
      <c r="M188" s="3">
        <v>55.7</v>
      </c>
      <c r="N188" s="3">
        <v>2275</v>
      </c>
      <c r="O188" s="3" t="s">
        <v>44</v>
      </c>
      <c r="P188" s="3" t="s">
        <v>34</v>
      </c>
      <c r="Q188" s="3">
        <v>109</v>
      </c>
      <c r="R188" s="3" t="s">
        <v>35</v>
      </c>
      <c r="S188" s="3">
        <v>3.19</v>
      </c>
      <c r="T188" s="3">
        <v>3.4</v>
      </c>
      <c r="U188" s="3">
        <v>9</v>
      </c>
      <c r="V188" s="3">
        <v>85</v>
      </c>
      <c r="W188" s="3">
        <v>5250</v>
      </c>
      <c r="X188" s="3">
        <v>27</v>
      </c>
      <c r="Y188" s="3">
        <v>34</v>
      </c>
      <c r="Z188" s="3">
        <v>8495</v>
      </c>
      <c r="AA188">
        <f t="shared" si="2"/>
        <v>7645.5</v>
      </c>
    </row>
    <row r="189" spans="1:27" ht="14.25" customHeight="1" x14ac:dyDescent="0.35">
      <c r="A189" s="3">
        <v>188</v>
      </c>
      <c r="B189" s="3">
        <v>2</v>
      </c>
      <c r="C189" s="3" t="s">
        <v>196</v>
      </c>
      <c r="D189" s="3" t="s">
        <v>107</v>
      </c>
      <c r="E189" s="3" t="s">
        <v>52</v>
      </c>
      <c r="F189" s="3" t="s">
        <v>34</v>
      </c>
      <c r="G189" s="3" t="s">
        <v>42</v>
      </c>
      <c r="H189" s="3" t="s">
        <v>43</v>
      </c>
      <c r="I189" s="3" t="s">
        <v>32</v>
      </c>
      <c r="J189" s="3">
        <v>97.3</v>
      </c>
      <c r="K189" s="3">
        <v>171.7</v>
      </c>
      <c r="L189" s="3">
        <v>65.5</v>
      </c>
      <c r="M189" s="3">
        <v>55.7</v>
      </c>
      <c r="N189" s="3">
        <v>2319</v>
      </c>
      <c r="O189" s="3" t="s">
        <v>44</v>
      </c>
      <c r="P189" s="3" t="s">
        <v>34</v>
      </c>
      <c r="Q189" s="3">
        <v>97</v>
      </c>
      <c r="R189" s="3" t="s">
        <v>108</v>
      </c>
      <c r="S189" s="3">
        <v>3.01</v>
      </c>
      <c r="T189" s="3">
        <v>3.4</v>
      </c>
      <c r="U189" s="3">
        <v>23</v>
      </c>
      <c r="V189" s="3">
        <v>68</v>
      </c>
      <c r="W189" s="3">
        <v>4500</v>
      </c>
      <c r="X189" s="3">
        <v>37</v>
      </c>
      <c r="Y189" s="3">
        <v>42</v>
      </c>
      <c r="Z189" s="3">
        <v>9495</v>
      </c>
      <c r="AA189">
        <f t="shared" si="2"/>
        <v>8545.5</v>
      </c>
    </row>
    <row r="190" spans="1:27" ht="14.25" hidden="1" customHeight="1" x14ac:dyDescent="0.35">
      <c r="A190" s="3">
        <v>189</v>
      </c>
      <c r="B190" s="3">
        <v>2</v>
      </c>
      <c r="C190" s="3" t="s">
        <v>197</v>
      </c>
      <c r="D190" s="3" t="s">
        <v>27</v>
      </c>
      <c r="E190" s="3" t="s">
        <v>28</v>
      </c>
      <c r="F190" s="3" t="s">
        <v>34</v>
      </c>
      <c r="G190" s="3" t="s">
        <v>42</v>
      </c>
      <c r="H190" s="3" t="s">
        <v>43</v>
      </c>
      <c r="I190" s="3" t="s">
        <v>32</v>
      </c>
      <c r="J190" s="3">
        <v>97.3</v>
      </c>
      <c r="K190" s="3">
        <v>171.7</v>
      </c>
      <c r="L190" s="3">
        <v>65.5</v>
      </c>
      <c r="M190" s="3">
        <v>55.7</v>
      </c>
      <c r="N190" s="3">
        <v>2300</v>
      </c>
      <c r="O190" s="3" t="s">
        <v>44</v>
      </c>
      <c r="P190" s="3" t="s">
        <v>34</v>
      </c>
      <c r="Q190" s="3">
        <v>109</v>
      </c>
      <c r="R190" s="3" t="s">
        <v>35</v>
      </c>
      <c r="S190" s="3">
        <v>3.19</v>
      </c>
      <c r="T190" s="3">
        <v>3.4</v>
      </c>
      <c r="U190" s="3">
        <v>10</v>
      </c>
      <c r="V190" s="3">
        <v>100</v>
      </c>
      <c r="W190" s="3">
        <v>5500</v>
      </c>
      <c r="X190" s="3">
        <v>26</v>
      </c>
      <c r="Y190" s="3">
        <v>32</v>
      </c>
      <c r="Z190" s="3">
        <v>9995</v>
      </c>
      <c r="AA190">
        <f t="shared" si="2"/>
        <v>8995.5</v>
      </c>
    </row>
    <row r="191" spans="1:27" ht="14.25" hidden="1" customHeight="1" x14ac:dyDescent="0.35">
      <c r="A191" s="3">
        <v>190</v>
      </c>
      <c r="B191" s="3">
        <v>3</v>
      </c>
      <c r="C191" s="3" t="s">
        <v>198</v>
      </c>
      <c r="D191" s="3" t="s">
        <v>27</v>
      </c>
      <c r="E191" s="3" t="s">
        <v>28</v>
      </c>
      <c r="F191" s="3" t="s">
        <v>29</v>
      </c>
      <c r="G191" s="3" t="s">
        <v>30</v>
      </c>
      <c r="H191" s="3" t="s">
        <v>43</v>
      </c>
      <c r="I191" s="3" t="s">
        <v>32</v>
      </c>
      <c r="J191" s="3">
        <v>94.5</v>
      </c>
      <c r="K191" s="3">
        <v>159.30000000000001</v>
      </c>
      <c r="L191" s="3">
        <v>64.2</v>
      </c>
      <c r="M191" s="3">
        <v>55.6</v>
      </c>
      <c r="N191" s="3">
        <v>2254</v>
      </c>
      <c r="O191" s="3" t="s">
        <v>44</v>
      </c>
      <c r="P191" s="3" t="s">
        <v>34</v>
      </c>
      <c r="Q191" s="3">
        <v>109</v>
      </c>
      <c r="R191" s="3" t="s">
        <v>35</v>
      </c>
      <c r="S191" s="3">
        <v>3.19</v>
      </c>
      <c r="T191" s="3">
        <v>3.4</v>
      </c>
      <c r="U191" s="3">
        <v>8.5</v>
      </c>
      <c r="V191" s="3">
        <v>90</v>
      </c>
      <c r="W191" s="3">
        <v>5500</v>
      </c>
      <c r="X191" s="3">
        <v>24</v>
      </c>
      <c r="Y191" s="3">
        <v>29</v>
      </c>
      <c r="Z191" s="3">
        <v>11595</v>
      </c>
      <c r="AA191">
        <f t="shared" si="2"/>
        <v>10435.5</v>
      </c>
    </row>
    <row r="192" spans="1:27" ht="14.25" hidden="1" customHeight="1" x14ac:dyDescent="0.35">
      <c r="A192" s="3">
        <v>191</v>
      </c>
      <c r="B192" s="3">
        <v>3</v>
      </c>
      <c r="C192" s="3" t="s">
        <v>199</v>
      </c>
      <c r="D192" s="3" t="s">
        <v>27</v>
      </c>
      <c r="E192" s="3" t="s">
        <v>28</v>
      </c>
      <c r="F192" s="3" t="s">
        <v>29</v>
      </c>
      <c r="G192" s="3" t="s">
        <v>38</v>
      </c>
      <c r="H192" s="3" t="s">
        <v>43</v>
      </c>
      <c r="I192" s="3" t="s">
        <v>32</v>
      </c>
      <c r="J192" s="3">
        <v>94.5</v>
      </c>
      <c r="K192" s="3">
        <v>165.7</v>
      </c>
      <c r="L192" s="3">
        <v>64</v>
      </c>
      <c r="M192" s="3">
        <v>51.4</v>
      </c>
      <c r="N192" s="3">
        <v>2221</v>
      </c>
      <c r="O192" s="3" t="s">
        <v>44</v>
      </c>
      <c r="P192" s="3" t="s">
        <v>34</v>
      </c>
      <c r="Q192" s="3">
        <v>109</v>
      </c>
      <c r="R192" s="3" t="s">
        <v>35</v>
      </c>
      <c r="S192" s="3">
        <v>3.19</v>
      </c>
      <c r="T192" s="3">
        <v>3.4</v>
      </c>
      <c r="U192" s="3">
        <v>8.5</v>
      </c>
      <c r="V192" s="3">
        <v>90</v>
      </c>
      <c r="W192" s="3">
        <v>5500</v>
      </c>
      <c r="X192" s="3">
        <v>24</v>
      </c>
      <c r="Y192" s="3">
        <v>29</v>
      </c>
      <c r="Z192" s="3">
        <v>9980</v>
      </c>
      <c r="AA192">
        <f t="shared" si="2"/>
        <v>8982</v>
      </c>
    </row>
    <row r="193" spans="1:27" ht="14.25" hidden="1" customHeight="1" x14ac:dyDescent="0.35">
      <c r="A193" s="3">
        <v>192</v>
      </c>
      <c r="B193" s="3">
        <v>0</v>
      </c>
      <c r="C193" s="3" t="s">
        <v>200</v>
      </c>
      <c r="D193" s="3" t="s">
        <v>27</v>
      </c>
      <c r="E193" s="3" t="s">
        <v>28</v>
      </c>
      <c r="F193" s="3" t="s">
        <v>34</v>
      </c>
      <c r="G193" s="3" t="s">
        <v>42</v>
      </c>
      <c r="H193" s="3" t="s">
        <v>43</v>
      </c>
      <c r="I193" s="3" t="s">
        <v>32</v>
      </c>
      <c r="J193" s="3">
        <v>100.4</v>
      </c>
      <c r="K193" s="3">
        <v>180.2</v>
      </c>
      <c r="L193" s="3">
        <v>66.900000000000006</v>
      </c>
      <c r="M193" s="3">
        <v>55.1</v>
      </c>
      <c r="N193" s="3">
        <v>2661</v>
      </c>
      <c r="O193" s="3" t="s">
        <v>44</v>
      </c>
      <c r="P193" s="3" t="s">
        <v>47</v>
      </c>
      <c r="Q193" s="3">
        <v>136</v>
      </c>
      <c r="R193" s="3" t="s">
        <v>35</v>
      </c>
      <c r="S193" s="3">
        <v>3.19</v>
      </c>
      <c r="T193" s="3">
        <v>3.4</v>
      </c>
      <c r="U193" s="3">
        <v>8.5</v>
      </c>
      <c r="V193" s="3">
        <v>110</v>
      </c>
      <c r="W193" s="3">
        <v>5500</v>
      </c>
      <c r="X193" s="3">
        <v>19</v>
      </c>
      <c r="Y193" s="3">
        <v>24</v>
      </c>
      <c r="Z193" s="3">
        <v>13295</v>
      </c>
      <c r="AA193">
        <f t="shared" si="2"/>
        <v>11965.5</v>
      </c>
    </row>
    <row r="194" spans="1:27" ht="14.25" customHeight="1" x14ac:dyDescent="0.35">
      <c r="A194" s="3">
        <v>193</v>
      </c>
      <c r="B194" s="3">
        <v>0</v>
      </c>
      <c r="C194" s="3" t="s">
        <v>201</v>
      </c>
      <c r="D194" s="3" t="s">
        <v>107</v>
      </c>
      <c r="E194" s="3" t="s">
        <v>52</v>
      </c>
      <c r="F194" s="3" t="s">
        <v>34</v>
      </c>
      <c r="G194" s="3" t="s">
        <v>42</v>
      </c>
      <c r="H194" s="3" t="s">
        <v>43</v>
      </c>
      <c r="I194" s="3" t="s">
        <v>32</v>
      </c>
      <c r="J194" s="3">
        <v>100.4</v>
      </c>
      <c r="K194" s="3">
        <v>180.2</v>
      </c>
      <c r="L194" s="3">
        <v>66.900000000000006</v>
      </c>
      <c r="M194" s="3">
        <v>55.1</v>
      </c>
      <c r="N194" s="3">
        <v>2579</v>
      </c>
      <c r="O194" s="3" t="s">
        <v>44</v>
      </c>
      <c r="P194" s="3" t="s">
        <v>34</v>
      </c>
      <c r="Q194" s="3">
        <v>97</v>
      </c>
      <c r="R194" s="3" t="s">
        <v>108</v>
      </c>
      <c r="S194" s="3">
        <v>3.01</v>
      </c>
      <c r="T194" s="3">
        <v>3.4</v>
      </c>
      <c r="U194" s="3">
        <v>23</v>
      </c>
      <c r="V194" s="3">
        <v>68</v>
      </c>
      <c r="W194" s="3">
        <v>4500</v>
      </c>
      <c r="X194" s="3">
        <v>33</v>
      </c>
      <c r="Y194" s="3">
        <v>38</v>
      </c>
      <c r="Z194" s="3">
        <v>13845</v>
      </c>
      <c r="AA194">
        <f t="shared" si="2"/>
        <v>12460.5</v>
      </c>
    </row>
    <row r="195" spans="1:27" ht="14.25" hidden="1" customHeight="1" x14ac:dyDescent="0.35">
      <c r="A195" s="3">
        <v>194</v>
      </c>
      <c r="B195" s="3">
        <v>0</v>
      </c>
      <c r="C195" s="3" t="s">
        <v>197</v>
      </c>
      <c r="D195" s="3" t="s">
        <v>27</v>
      </c>
      <c r="E195" s="3" t="s">
        <v>28</v>
      </c>
      <c r="F195" s="3" t="s">
        <v>34</v>
      </c>
      <c r="G195" s="3" t="s">
        <v>50</v>
      </c>
      <c r="H195" s="3" t="s">
        <v>43</v>
      </c>
      <c r="I195" s="3" t="s">
        <v>32</v>
      </c>
      <c r="J195" s="3">
        <v>100.4</v>
      </c>
      <c r="K195" s="3">
        <v>183.1</v>
      </c>
      <c r="L195" s="3">
        <v>66.900000000000006</v>
      </c>
      <c r="M195" s="3">
        <v>55.1</v>
      </c>
      <c r="N195" s="3">
        <v>2563</v>
      </c>
      <c r="O195" s="3" t="s">
        <v>44</v>
      </c>
      <c r="P195" s="3" t="s">
        <v>34</v>
      </c>
      <c r="Q195" s="3">
        <v>109</v>
      </c>
      <c r="R195" s="3" t="s">
        <v>35</v>
      </c>
      <c r="S195" s="3">
        <v>3.19</v>
      </c>
      <c r="T195" s="3">
        <v>3.4</v>
      </c>
      <c r="U195" s="3">
        <v>9</v>
      </c>
      <c r="V195" s="3">
        <v>88</v>
      </c>
      <c r="W195" s="3">
        <v>5500</v>
      </c>
      <c r="X195" s="3">
        <v>25</v>
      </c>
      <c r="Y195" s="3">
        <v>31</v>
      </c>
      <c r="Z195" s="3">
        <v>12290</v>
      </c>
      <c r="AA195">
        <f t="shared" si="2"/>
        <v>11061</v>
      </c>
    </row>
    <row r="196" spans="1:27" ht="14.25" hidden="1" customHeight="1" x14ac:dyDescent="0.35">
      <c r="A196" s="3">
        <v>195</v>
      </c>
      <c r="B196" s="3">
        <v>-2</v>
      </c>
      <c r="C196" s="3" t="s">
        <v>202</v>
      </c>
      <c r="D196" s="3" t="s">
        <v>27</v>
      </c>
      <c r="E196" s="3" t="s">
        <v>28</v>
      </c>
      <c r="F196" s="3" t="s">
        <v>34</v>
      </c>
      <c r="G196" s="3" t="s">
        <v>42</v>
      </c>
      <c r="H196" s="3" t="s">
        <v>31</v>
      </c>
      <c r="I196" s="3" t="s">
        <v>32</v>
      </c>
      <c r="J196" s="3">
        <v>104.3</v>
      </c>
      <c r="K196" s="3">
        <v>188.8</v>
      </c>
      <c r="L196" s="3">
        <v>67.2</v>
      </c>
      <c r="M196" s="3">
        <v>56.2</v>
      </c>
      <c r="N196" s="3">
        <v>2912</v>
      </c>
      <c r="O196" s="3" t="s">
        <v>44</v>
      </c>
      <c r="P196" s="3" t="s">
        <v>34</v>
      </c>
      <c r="Q196" s="3">
        <v>141</v>
      </c>
      <c r="R196" s="3" t="s">
        <v>35</v>
      </c>
      <c r="S196" s="3">
        <v>3.78</v>
      </c>
      <c r="T196" s="3">
        <v>3.15</v>
      </c>
      <c r="U196" s="3">
        <v>9.5</v>
      </c>
      <c r="V196" s="3">
        <v>114</v>
      </c>
      <c r="W196" s="3">
        <v>5400</v>
      </c>
      <c r="X196" s="3">
        <v>23</v>
      </c>
      <c r="Y196" s="3">
        <v>28</v>
      </c>
      <c r="Z196" s="3">
        <v>12940</v>
      </c>
      <c r="AA196">
        <f t="shared" si="2"/>
        <v>11646</v>
      </c>
    </row>
    <row r="197" spans="1:27" ht="14.25" hidden="1" customHeight="1" x14ac:dyDescent="0.35">
      <c r="A197" s="3">
        <v>196</v>
      </c>
      <c r="B197" s="3">
        <v>-1</v>
      </c>
      <c r="C197" s="3" t="s">
        <v>203</v>
      </c>
      <c r="D197" s="3" t="s">
        <v>27</v>
      </c>
      <c r="E197" s="3" t="s">
        <v>28</v>
      </c>
      <c r="F197" s="3" t="s">
        <v>34</v>
      </c>
      <c r="G197" s="3" t="s">
        <v>50</v>
      </c>
      <c r="H197" s="3" t="s">
        <v>31</v>
      </c>
      <c r="I197" s="3" t="s">
        <v>32</v>
      </c>
      <c r="J197" s="3">
        <v>104.3</v>
      </c>
      <c r="K197" s="3">
        <v>188.8</v>
      </c>
      <c r="L197" s="3">
        <v>67.2</v>
      </c>
      <c r="M197" s="3">
        <v>57.5</v>
      </c>
      <c r="N197" s="3">
        <v>3034</v>
      </c>
      <c r="O197" s="3" t="s">
        <v>44</v>
      </c>
      <c r="P197" s="3" t="s">
        <v>34</v>
      </c>
      <c r="Q197" s="3">
        <v>141</v>
      </c>
      <c r="R197" s="3" t="s">
        <v>35</v>
      </c>
      <c r="S197" s="3">
        <v>3.78</v>
      </c>
      <c r="T197" s="3">
        <v>3.15</v>
      </c>
      <c r="U197" s="3">
        <v>9.5</v>
      </c>
      <c r="V197" s="3">
        <v>114</v>
      </c>
      <c r="W197" s="3">
        <v>5400</v>
      </c>
      <c r="X197" s="3">
        <v>23</v>
      </c>
      <c r="Y197" s="3">
        <v>28</v>
      </c>
      <c r="Z197" s="3">
        <v>13415</v>
      </c>
      <c r="AA197">
        <f t="shared" ref="AA197:AA206" si="3">Z197*0.9</f>
        <v>12073.5</v>
      </c>
    </row>
    <row r="198" spans="1:27" ht="14.25" hidden="1" customHeight="1" x14ac:dyDescent="0.35">
      <c r="A198" s="3">
        <v>197</v>
      </c>
      <c r="B198" s="3">
        <v>-2</v>
      </c>
      <c r="C198" s="3" t="s">
        <v>204</v>
      </c>
      <c r="D198" s="3" t="s">
        <v>27</v>
      </c>
      <c r="E198" s="3" t="s">
        <v>28</v>
      </c>
      <c r="F198" s="3" t="s">
        <v>34</v>
      </c>
      <c r="G198" s="3" t="s">
        <v>42</v>
      </c>
      <c r="H198" s="3" t="s">
        <v>31</v>
      </c>
      <c r="I198" s="3" t="s">
        <v>32</v>
      </c>
      <c r="J198" s="3">
        <v>104.3</v>
      </c>
      <c r="K198" s="3">
        <v>188.8</v>
      </c>
      <c r="L198" s="3">
        <v>67.2</v>
      </c>
      <c r="M198" s="3">
        <v>56.2</v>
      </c>
      <c r="N198" s="3">
        <v>2935</v>
      </c>
      <c r="O198" s="3" t="s">
        <v>44</v>
      </c>
      <c r="P198" s="3" t="s">
        <v>34</v>
      </c>
      <c r="Q198" s="3">
        <v>141</v>
      </c>
      <c r="R198" s="3" t="s">
        <v>35</v>
      </c>
      <c r="S198" s="3">
        <v>3.78</v>
      </c>
      <c r="T198" s="3">
        <v>3.15</v>
      </c>
      <c r="U198" s="3">
        <v>9.5</v>
      </c>
      <c r="V198" s="3">
        <v>114</v>
      </c>
      <c r="W198" s="3">
        <v>5400</v>
      </c>
      <c r="X198" s="3">
        <v>24</v>
      </c>
      <c r="Y198" s="3">
        <v>28</v>
      </c>
      <c r="Z198" s="3">
        <v>15985</v>
      </c>
      <c r="AA198">
        <f t="shared" si="3"/>
        <v>14386.5</v>
      </c>
    </row>
    <row r="199" spans="1:27" ht="14.25" hidden="1" customHeight="1" x14ac:dyDescent="0.35">
      <c r="A199" s="3">
        <v>198</v>
      </c>
      <c r="B199" s="3">
        <v>-1</v>
      </c>
      <c r="C199" s="3" t="s">
        <v>205</v>
      </c>
      <c r="D199" s="3" t="s">
        <v>27</v>
      </c>
      <c r="E199" s="3" t="s">
        <v>28</v>
      </c>
      <c r="F199" s="3" t="s">
        <v>34</v>
      </c>
      <c r="G199" s="3" t="s">
        <v>50</v>
      </c>
      <c r="H199" s="3" t="s">
        <v>31</v>
      </c>
      <c r="I199" s="3" t="s">
        <v>32</v>
      </c>
      <c r="J199" s="3">
        <v>104.3</v>
      </c>
      <c r="K199" s="3">
        <v>188.8</v>
      </c>
      <c r="L199" s="3">
        <v>67.2</v>
      </c>
      <c r="M199" s="3">
        <v>57.5</v>
      </c>
      <c r="N199" s="3">
        <v>3042</v>
      </c>
      <c r="O199" s="3" t="s">
        <v>44</v>
      </c>
      <c r="P199" s="3" t="s">
        <v>34</v>
      </c>
      <c r="Q199" s="3">
        <v>141</v>
      </c>
      <c r="R199" s="3" t="s">
        <v>35</v>
      </c>
      <c r="S199" s="3">
        <v>3.78</v>
      </c>
      <c r="T199" s="3">
        <v>3.15</v>
      </c>
      <c r="U199" s="3">
        <v>9.5</v>
      </c>
      <c r="V199" s="3">
        <v>114</v>
      </c>
      <c r="W199" s="3">
        <v>5400</v>
      </c>
      <c r="X199" s="3">
        <v>24</v>
      </c>
      <c r="Y199" s="3">
        <v>28</v>
      </c>
      <c r="Z199" s="3">
        <v>16515</v>
      </c>
      <c r="AA199">
        <f t="shared" si="3"/>
        <v>14863.5</v>
      </c>
    </row>
    <row r="200" spans="1:27" ht="14.25" hidden="1" customHeight="1" x14ac:dyDescent="0.35">
      <c r="A200" s="3">
        <v>199</v>
      </c>
      <c r="B200" s="3">
        <v>-2</v>
      </c>
      <c r="C200" s="3" t="s">
        <v>206</v>
      </c>
      <c r="D200" s="3" t="s">
        <v>27</v>
      </c>
      <c r="E200" s="3" t="s">
        <v>52</v>
      </c>
      <c r="F200" s="3" t="s">
        <v>34</v>
      </c>
      <c r="G200" s="3" t="s">
        <v>42</v>
      </c>
      <c r="H200" s="3" t="s">
        <v>31</v>
      </c>
      <c r="I200" s="3" t="s">
        <v>32</v>
      </c>
      <c r="J200" s="3">
        <v>104.3</v>
      </c>
      <c r="K200" s="3">
        <v>188.8</v>
      </c>
      <c r="L200" s="3">
        <v>67.2</v>
      </c>
      <c r="M200" s="3">
        <v>56.2</v>
      </c>
      <c r="N200" s="3">
        <v>3045</v>
      </c>
      <c r="O200" s="3" t="s">
        <v>44</v>
      </c>
      <c r="P200" s="3" t="s">
        <v>34</v>
      </c>
      <c r="Q200" s="3">
        <v>130</v>
      </c>
      <c r="R200" s="3" t="s">
        <v>35</v>
      </c>
      <c r="S200" s="3">
        <v>3.62</v>
      </c>
      <c r="T200" s="3">
        <v>3.15</v>
      </c>
      <c r="U200" s="3">
        <v>7.5</v>
      </c>
      <c r="V200" s="3">
        <v>162</v>
      </c>
      <c r="W200" s="3">
        <v>5100</v>
      </c>
      <c r="X200" s="3">
        <v>17</v>
      </c>
      <c r="Y200" s="3">
        <v>22</v>
      </c>
      <c r="Z200" s="3">
        <v>18420</v>
      </c>
      <c r="AA200">
        <f t="shared" si="3"/>
        <v>16578</v>
      </c>
    </row>
    <row r="201" spans="1:27" ht="14.25" hidden="1" customHeight="1" x14ac:dyDescent="0.35">
      <c r="A201" s="3">
        <v>200</v>
      </c>
      <c r="B201" s="3">
        <v>-1</v>
      </c>
      <c r="C201" s="3" t="s">
        <v>207</v>
      </c>
      <c r="D201" s="3" t="s">
        <v>27</v>
      </c>
      <c r="E201" s="3" t="s">
        <v>52</v>
      </c>
      <c r="F201" s="3" t="s">
        <v>34</v>
      </c>
      <c r="G201" s="3" t="s">
        <v>50</v>
      </c>
      <c r="H201" s="3" t="s">
        <v>31</v>
      </c>
      <c r="I201" s="3" t="s">
        <v>32</v>
      </c>
      <c r="J201" s="3">
        <v>104.3</v>
      </c>
      <c r="K201" s="3">
        <v>188.8</v>
      </c>
      <c r="L201" s="3">
        <v>67.2</v>
      </c>
      <c r="M201" s="3">
        <v>57.5</v>
      </c>
      <c r="N201" s="3">
        <v>3157</v>
      </c>
      <c r="O201" s="3" t="s">
        <v>44</v>
      </c>
      <c r="P201" s="3" t="s">
        <v>34</v>
      </c>
      <c r="Q201" s="3">
        <v>130</v>
      </c>
      <c r="R201" s="3" t="s">
        <v>35</v>
      </c>
      <c r="S201" s="3">
        <v>3.62</v>
      </c>
      <c r="T201" s="3">
        <v>3.15</v>
      </c>
      <c r="U201" s="3">
        <v>7.5</v>
      </c>
      <c r="V201" s="3">
        <v>162</v>
      </c>
      <c r="W201" s="3">
        <v>5100</v>
      </c>
      <c r="X201" s="3">
        <v>17</v>
      </c>
      <c r="Y201" s="3">
        <v>22</v>
      </c>
      <c r="Z201" s="3">
        <v>18950</v>
      </c>
      <c r="AA201">
        <f t="shared" si="3"/>
        <v>17055</v>
      </c>
    </row>
    <row r="202" spans="1:27" ht="14.25" hidden="1" customHeight="1" x14ac:dyDescent="0.35">
      <c r="A202" s="3">
        <v>201</v>
      </c>
      <c r="B202" s="3">
        <v>-1</v>
      </c>
      <c r="C202" s="3" t="s">
        <v>202</v>
      </c>
      <c r="D202" s="3" t="s">
        <v>27</v>
      </c>
      <c r="E202" s="3" t="s">
        <v>28</v>
      </c>
      <c r="F202" s="3" t="s">
        <v>34</v>
      </c>
      <c r="G202" s="3" t="s">
        <v>42</v>
      </c>
      <c r="H202" s="3" t="s">
        <v>31</v>
      </c>
      <c r="I202" s="3" t="s">
        <v>32</v>
      </c>
      <c r="J202" s="3">
        <v>109.1</v>
      </c>
      <c r="K202" s="3">
        <v>188.8</v>
      </c>
      <c r="L202" s="3">
        <v>68.900000000000006</v>
      </c>
      <c r="M202" s="3">
        <v>55.5</v>
      </c>
      <c r="N202" s="3">
        <v>2952</v>
      </c>
      <c r="O202" s="3" t="s">
        <v>44</v>
      </c>
      <c r="P202" s="3" t="s">
        <v>34</v>
      </c>
      <c r="Q202" s="3">
        <v>141</v>
      </c>
      <c r="R202" s="3" t="s">
        <v>35</v>
      </c>
      <c r="S202" s="3">
        <v>3.78</v>
      </c>
      <c r="T202" s="3">
        <v>3.15</v>
      </c>
      <c r="U202" s="3">
        <v>9.5</v>
      </c>
      <c r="V202" s="3">
        <v>114</v>
      </c>
      <c r="W202" s="3">
        <v>5400</v>
      </c>
      <c r="X202" s="3">
        <v>23</v>
      </c>
      <c r="Y202" s="3">
        <v>28</v>
      </c>
      <c r="Z202" s="3">
        <v>16845</v>
      </c>
      <c r="AA202">
        <f t="shared" si="3"/>
        <v>15160.5</v>
      </c>
    </row>
    <row r="203" spans="1:27" ht="14.25" hidden="1" customHeight="1" x14ac:dyDescent="0.35">
      <c r="A203" s="3">
        <v>202</v>
      </c>
      <c r="B203" s="3">
        <v>-1</v>
      </c>
      <c r="C203" s="3" t="s">
        <v>203</v>
      </c>
      <c r="D203" s="3" t="s">
        <v>27</v>
      </c>
      <c r="E203" s="3" t="s">
        <v>52</v>
      </c>
      <c r="F203" s="3" t="s">
        <v>34</v>
      </c>
      <c r="G203" s="3" t="s">
        <v>42</v>
      </c>
      <c r="H203" s="3" t="s">
        <v>31</v>
      </c>
      <c r="I203" s="3" t="s">
        <v>32</v>
      </c>
      <c r="J203" s="3">
        <v>109.1</v>
      </c>
      <c r="K203" s="3">
        <v>188.8</v>
      </c>
      <c r="L203" s="3">
        <v>68.8</v>
      </c>
      <c r="M203" s="3">
        <v>55.5</v>
      </c>
      <c r="N203" s="3">
        <v>3049</v>
      </c>
      <c r="O203" s="3" t="s">
        <v>44</v>
      </c>
      <c r="P203" s="3" t="s">
        <v>34</v>
      </c>
      <c r="Q203" s="3">
        <v>141</v>
      </c>
      <c r="R203" s="3" t="s">
        <v>35</v>
      </c>
      <c r="S203" s="3">
        <v>3.78</v>
      </c>
      <c r="T203" s="3">
        <v>3.15</v>
      </c>
      <c r="U203" s="3">
        <v>8.6999999999999993</v>
      </c>
      <c r="V203" s="3">
        <v>160</v>
      </c>
      <c r="W203" s="3">
        <v>5300</v>
      </c>
      <c r="X203" s="3">
        <v>19</v>
      </c>
      <c r="Y203" s="3">
        <v>25</v>
      </c>
      <c r="Z203" s="3">
        <v>19045</v>
      </c>
      <c r="AA203">
        <f t="shared" si="3"/>
        <v>17140.5</v>
      </c>
    </row>
    <row r="204" spans="1:27" ht="14.25" hidden="1" customHeight="1" x14ac:dyDescent="0.35">
      <c r="A204" s="3">
        <v>203</v>
      </c>
      <c r="B204" s="3">
        <v>-1</v>
      </c>
      <c r="C204" s="3" t="s">
        <v>204</v>
      </c>
      <c r="D204" s="3" t="s">
        <v>27</v>
      </c>
      <c r="E204" s="3" t="s">
        <v>28</v>
      </c>
      <c r="F204" s="3" t="s">
        <v>34</v>
      </c>
      <c r="G204" s="3" t="s">
        <v>42</v>
      </c>
      <c r="H204" s="3" t="s">
        <v>31</v>
      </c>
      <c r="I204" s="3" t="s">
        <v>32</v>
      </c>
      <c r="J204" s="3">
        <v>109.1</v>
      </c>
      <c r="K204" s="3">
        <v>188.8</v>
      </c>
      <c r="L204" s="3">
        <v>68.900000000000006</v>
      </c>
      <c r="M204" s="3">
        <v>55.5</v>
      </c>
      <c r="N204" s="3">
        <v>3012</v>
      </c>
      <c r="O204" s="3" t="s">
        <v>39</v>
      </c>
      <c r="P204" s="3" t="s">
        <v>40</v>
      </c>
      <c r="Q204" s="3">
        <v>173</v>
      </c>
      <c r="R204" s="3" t="s">
        <v>35</v>
      </c>
      <c r="S204" s="3">
        <v>3.58</v>
      </c>
      <c r="T204" s="3">
        <v>2.87</v>
      </c>
      <c r="U204" s="3">
        <v>8.8000000000000007</v>
      </c>
      <c r="V204" s="3">
        <v>134</v>
      </c>
      <c r="W204" s="3">
        <v>5500</v>
      </c>
      <c r="X204" s="3">
        <v>18</v>
      </c>
      <c r="Y204" s="3">
        <v>23</v>
      </c>
      <c r="Z204" s="3">
        <v>21485</v>
      </c>
      <c r="AA204">
        <f t="shared" si="3"/>
        <v>19336.5</v>
      </c>
    </row>
    <row r="205" spans="1:27" ht="14.25" customHeight="1" x14ac:dyDescent="0.35">
      <c r="A205" s="3">
        <v>204</v>
      </c>
      <c r="B205" s="3">
        <v>-1</v>
      </c>
      <c r="C205" s="3" t="s">
        <v>208</v>
      </c>
      <c r="D205" s="3" t="s">
        <v>107</v>
      </c>
      <c r="E205" s="3" t="s">
        <v>52</v>
      </c>
      <c r="F205" s="3" t="s">
        <v>34</v>
      </c>
      <c r="G205" s="3" t="s">
        <v>42</v>
      </c>
      <c r="H205" s="3" t="s">
        <v>31</v>
      </c>
      <c r="I205" s="3" t="s">
        <v>32</v>
      </c>
      <c r="J205" s="3">
        <v>109.1</v>
      </c>
      <c r="K205" s="3">
        <v>188.8</v>
      </c>
      <c r="L205" s="3">
        <v>68.900000000000006</v>
      </c>
      <c r="M205" s="3">
        <v>55.5</v>
      </c>
      <c r="N205" s="3">
        <v>3217</v>
      </c>
      <c r="O205" s="3" t="s">
        <v>44</v>
      </c>
      <c r="P205" s="3" t="s">
        <v>40</v>
      </c>
      <c r="Q205" s="3">
        <v>145</v>
      </c>
      <c r="R205" s="3" t="s">
        <v>108</v>
      </c>
      <c r="S205" s="3">
        <v>3.01</v>
      </c>
      <c r="T205" s="3">
        <v>3.4</v>
      </c>
      <c r="U205" s="3">
        <v>23</v>
      </c>
      <c r="V205" s="3">
        <v>106</v>
      </c>
      <c r="W205" s="3">
        <v>4800</v>
      </c>
      <c r="X205" s="3">
        <v>26</v>
      </c>
      <c r="Y205" s="3">
        <v>27</v>
      </c>
      <c r="Z205" s="3">
        <v>22470</v>
      </c>
      <c r="AA205">
        <f t="shared" si="3"/>
        <v>20223</v>
      </c>
    </row>
    <row r="206" spans="1:27" ht="14.25" hidden="1" customHeight="1" x14ac:dyDescent="0.35">
      <c r="A206" s="3">
        <v>205</v>
      </c>
      <c r="B206" s="3">
        <v>-1</v>
      </c>
      <c r="C206" s="3" t="s">
        <v>206</v>
      </c>
      <c r="D206" s="3" t="s">
        <v>27</v>
      </c>
      <c r="E206" s="3" t="s">
        <v>52</v>
      </c>
      <c r="F206" s="3" t="s">
        <v>34</v>
      </c>
      <c r="G206" s="3" t="s">
        <v>42</v>
      </c>
      <c r="H206" s="3" t="s">
        <v>31</v>
      </c>
      <c r="I206" s="3" t="s">
        <v>32</v>
      </c>
      <c r="J206" s="3">
        <v>109.1</v>
      </c>
      <c r="K206" s="3">
        <v>188.8</v>
      </c>
      <c r="L206" s="3">
        <v>68.900000000000006</v>
      </c>
      <c r="M206" s="3">
        <v>55.5</v>
      </c>
      <c r="N206" s="3">
        <v>3062</v>
      </c>
      <c r="O206" s="3" t="s">
        <v>44</v>
      </c>
      <c r="P206" s="3" t="s">
        <v>34</v>
      </c>
      <c r="Q206" s="3">
        <v>141</v>
      </c>
      <c r="R206" s="3" t="s">
        <v>35</v>
      </c>
      <c r="S206" s="3">
        <v>3.78</v>
      </c>
      <c r="T206" s="3">
        <v>3.15</v>
      </c>
      <c r="U206" s="3">
        <v>9.5</v>
      </c>
      <c r="V206" s="3">
        <v>114</v>
      </c>
      <c r="W206" s="3">
        <v>5400</v>
      </c>
      <c r="X206" s="3">
        <v>19</v>
      </c>
      <c r="Y206" s="3">
        <v>25</v>
      </c>
      <c r="Z206" s="3">
        <v>22625</v>
      </c>
      <c r="AA206">
        <f t="shared" si="3"/>
        <v>20362.5</v>
      </c>
    </row>
    <row r="207" spans="1:27" ht="14.25" customHeight="1" x14ac:dyDescent="0.35"/>
    <row r="208" spans="1:27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autoFilter ref="A1:AD206" xr:uid="{00000000-0001-0000-0000-000000000000}">
    <filterColumn colId="3">
      <filters>
        <filter val="diesel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794E-BC8D-4612-A0AC-2B92DB68993F}">
  <dimension ref="A1:N11"/>
  <sheetViews>
    <sheetView zoomScaleNormal="100" workbookViewId="0">
      <selection activeCell="E13" sqref="E13"/>
    </sheetView>
  </sheetViews>
  <sheetFormatPr defaultRowHeight="14.5" x14ac:dyDescent="0.35"/>
  <sheetData>
    <row r="1" spans="1:14" x14ac:dyDescent="0.35">
      <c r="A1" s="5" t="s">
        <v>216</v>
      </c>
      <c r="B1" s="5" t="s">
        <v>217</v>
      </c>
      <c r="M1" s="5" t="s">
        <v>216</v>
      </c>
    </row>
    <row r="2" spans="1:14" x14ac:dyDescent="0.35">
      <c r="A2">
        <v>10</v>
      </c>
      <c r="B2">
        <f>A2*10</f>
        <v>100</v>
      </c>
      <c r="M2">
        <v>10</v>
      </c>
      <c r="N2">
        <f>M2*10</f>
        <v>100</v>
      </c>
    </row>
    <row r="3" spans="1:14" x14ac:dyDescent="0.35">
      <c r="A3">
        <v>20</v>
      </c>
      <c r="B3">
        <f>A3*10</f>
        <v>200</v>
      </c>
      <c r="D3" s="5" t="s">
        <v>25</v>
      </c>
      <c r="E3">
        <v>10</v>
      </c>
      <c r="F3">
        <v>20</v>
      </c>
      <c r="G3">
        <v>30</v>
      </c>
      <c r="H3">
        <v>40</v>
      </c>
      <c r="I3">
        <v>50</v>
      </c>
      <c r="M3">
        <v>20</v>
      </c>
      <c r="N3">
        <f t="shared" ref="N3:N6" si="0">M3*10</f>
        <v>200</v>
      </c>
    </row>
    <row r="4" spans="1:14" x14ac:dyDescent="0.35">
      <c r="A4">
        <v>30</v>
      </c>
      <c r="B4">
        <f>A4*10</f>
        <v>300</v>
      </c>
      <c r="D4" s="5" t="s">
        <v>217</v>
      </c>
      <c r="E4">
        <f>E3*10</f>
        <v>100</v>
      </c>
      <c r="F4">
        <f>F3*10</f>
        <v>200</v>
      </c>
      <c r="G4">
        <f>G3*10</f>
        <v>300</v>
      </c>
      <c r="H4">
        <f>H3*10</f>
        <v>400</v>
      </c>
      <c r="I4">
        <f>I3*10</f>
        <v>500</v>
      </c>
      <c r="M4">
        <v>30</v>
      </c>
      <c r="N4">
        <f t="shared" si="0"/>
        <v>300</v>
      </c>
    </row>
    <row r="5" spans="1:14" x14ac:dyDescent="0.35">
      <c r="A5">
        <v>40</v>
      </c>
      <c r="B5">
        <f>A5*10</f>
        <v>400</v>
      </c>
      <c r="M5">
        <v>40</v>
      </c>
      <c r="N5">
        <f t="shared" si="0"/>
        <v>400</v>
      </c>
    </row>
    <row r="6" spans="1:14" x14ac:dyDescent="0.35">
      <c r="A6">
        <v>50</v>
      </c>
      <c r="B6">
        <f>A6*10</f>
        <v>500</v>
      </c>
      <c r="M6">
        <v>50</v>
      </c>
      <c r="N6">
        <f t="shared" si="0"/>
        <v>500</v>
      </c>
    </row>
    <row r="9" spans="1:14" x14ac:dyDescent="0.35">
      <c r="E9">
        <v>200</v>
      </c>
      <c r="H9">
        <v>200</v>
      </c>
    </row>
    <row r="11" spans="1:14" x14ac:dyDescent="0.35">
      <c r="F11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58302-EE62-4BF0-A179-B215961D5E81}">
  <dimension ref="A1:AA206"/>
  <sheetViews>
    <sheetView workbookViewId="0"/>
  </sheetViews>
  <sheetFormatPr defaultRowHeight="14.5" x14ac:dyDescent="0.35"/>
  <cols>
    <col min="1" max="1" width="6.1796875" bestFit="1" customWidth="1"/>
    <col min="2" max="2" width="9.26953125" bestFit="1" customWidth="1"/>
    <col min="3" max="3" width="26.81640625" bestFit="1" customWidth="1"/>
    <col min="4" max="4" width="7.7265625" bestFit="1" customWidth="1"/>
    <col min="5" max="5" width="9.26953125" bestFit="1" customWidth="1"/>
    <col min="6" max="6" width="11.453125" bestFit="1" customWidth="1"/>
    <col min="7" max="7" width="10.08984375" bestFit="1" customWidth="1"/>
    <col min="8" max="8" width="10" bestFit="1" customWidth="1"/>
    <col min="9" max="9" width="13.1796875" bestFit="1" customWidth="1"/>
    <col min="10" max="10" width="9.7265625" bestFit="1" customWidth="1"/>
    <col min="11" max="11" width="8.6328125" bestFit="1" customWidth="1"/>
    <col min="12" max="12" width="8.1796875" bestFit="1" customWidth="1"/>
    <col min="13" max="13" width="8.6328125" bestFit="1" customWidth="1"/>
    <col min="14" max="14" width="10.1796875" bestFit="1" customWidth="1"/>
    <col min="15" max="15" width="10.08984375" bestFit="1" customWidth="1"/>
    <col min="16" max="16" width="14.08984375" bestFit="1" customWidth="1"/>
    <col min="17" max="17" width="9.453125" bestFit="1" customWidth="1"/>
    <col min="18" max="18" width="9.90625" bestFit="1" customWidth="1"/>
    <col min="20" max="20" width="6.1796875" bestFit="1" customWidth="1"/>
    <col min="21" max="21" width="15.54296875" bestFit="1" customWidth="1"/>
    <col min="22" max="22" width="10.90625" bestFit="1" customWidth="1"/>
    <col min="23" max="23" width="8.36328125" bestFit="1" customWidth="1"/>
    <col min="24" max="24" width="7.36328125" bestFit="1" customWidth="1"/>
    <col min="25" max="25" width="11.36328125" bestFit="1" customWidth="1"/>
    <col min="26" max="26" width="9.81640625" bestFit="1" customWidth="1"/>
    <col min="27" max="27" width="19.54296875" bestFit="1" customWidth="1"/>
  </cols>
  <sheetData>
    <row r="1" spans="1:2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7" t="s">
        <v>218</v>
      </c>
    </row>
    <row r="2" spans="1:27" x14ac:dyDescent="0.35">
      <c r="A2" s="3">
        <v>1</v>
      </c>
      <c r="B2" s="3">
        <v>3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>
        <v>88.6</v>
      </c>
      <c r="K2" s="3">
        <v>168.8</v>
      </c>
      <c r="L2" s="3">
        <v>64.099999999999994</v>
      </c>
      <c r="M2" s="3">
        <v>48.8</v>
      </c>
      <c r="N2" s="3">
        <v>2548</v>
      </c>
      <c r="O2" s="3" t="s">
        <v>33</v>
      </c>
      <c r="P2" s="3" t="s">
        <v>34</v>
      </c>
      <c r="Q2" s="3">
        <v>130</v>
      </c>
      <c r="R2" s="3" t="s">
        <v>35</v>
      </c>
      <c r="S2" s="3">
        <v>3.47</v>
      </c>
      <c r="T2" s="3">
        <v>2.68</v>
      </c>
      <c r="U2" s="3">
        <v>9</v>
      </c>
      <c r="V2" s="3">
        <v>111</v>
      </c>
      <c r="W2" s="3">
        <v>5000</v>
      </c>
      <c r="X2" s="3">
        <v>21</v>
      </c>
      <c r="Y2" s="3">
        <v>27</v>
      </c>
      <c r="Z2" s="3">
        <v>13495</v>
      </c>
      <c r="AA2">
        <f>Z2*0.9</f>
        <v>12145.5</v>
      </c>
    </row>
    <row r="3" spans="1:27" x14ac:dyDescent="0.35">
      <c r="A3" s="3">
        <v>2</v>
      </c>
      <c r="B3" s="3">
        <v>3</v>
      </c>
      <c r="C3" s="3" t="s">
        <v>36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>
        <v>88.6</v>
      </c>
      <c r="K3" s="3">
        <v>168.8</v>
      </c>
      <c r="L3" s="3">
        <v>64.099999999999994</v>
      </c>
      <c r="M3" s="3">
        <v>48.8</v>
      </c>
      <c r="N3" s="3">
        <v>2548</v>
      </c>
      <c r="O3" s="3" t="s">
        <v>33</v>
      </c>
      <c r="P3" s="3" t="s">
        <v>34</v>
      </c>
      <c r="Q3" s="3">
        <v>130</v>
      </c>
      <c r="R3" s="3" t="s">
        <v>35</v>
      </c>
      <c r="S3" s="3">
        <v>3.47</v>
      </c>
      <c r="T3" s="3">
        <v>2.68</v>
      </c>
      <c r="U3" s="3">
        <v>9</v>
      </c>
      <c r="V3" s="3">
        <v>111</v>
      </c>
      <c r="W3" s="3">
        <v>5000</v>
      </c>
      <c r="X3" s="3">
        <v>21</v>
      </c>
      <c r="Y3" s="3">
        <v>27</v>
      </c>
      <c r="Z3" s="3">
        <v>16500</v>
      </c>
      <c r="AA3">
        <f>Z3*0.9</f>
        <v>14850</v>
      </c>
    </row>
    <row r="4" spans="1:27" x14ac:dyDescent="0.35">
      <c r="A4" s="3">
        <v>3</v>
      </c>
      <c r="B4" s="3">
        <v>1</v>
      </c>
      <c r="C4" s="3" t="s">
        <v>37</v>
      </c>
      <c r="D4" s="3" t="s">
        <v>27</v>
      </c>
      <c r="E4" s="3" t="s">
        <v>28</v>
      </c>
      <c r="F4" s="3" t="s">
        <v>29</v>
      </c>
      <c r="G4" s="3" t="s">
        <v>38</v>
      </c>
      <c r="H4" s="3" t="s">
        <v>31</v>
      </c>
      <c r="I4" s="3" t="s">
        <v>32</v>
      </c>
      <c r="J4" s="3">
        <v>94.5</v>
      </c>
      <c r="K4" s="3">
        <v>171.2</v>
      </c>
      <c r="L4" s="3">
        <v>65.5</v>
      </c>
      <c r="M4" s="3">
        <v>52.4</v>
      </c>
      <c r="N4" s="3">
        <v>2823</v>
      </c>
      <c r="O4" s="3" t="s">
        <v>39</v>
      </c>
      <c r="P4" s="3" t="s">
        <v>40</v>
      </c>
      <c r="Q4" s="3">
        <v>152</v>
      </c>
      <c r="R4" s="3" t="s">
        <v>35</v>
      </c>
      <c r="S4" s="3">
        <v>2.68</v>
      </c>
      <c r="T4" s="3">
        <v>3.47</v>
      </c>
      <c r="U4" s="3">
        <v>9</v>
      </c>
      <c r="V4" s="3">
        <v>154</v>
      </c>
      <c r="W4" s="3">
        <v>5000</v>
      </c>
      <c r="X4" s="3">
        <v>19</v>
      </c>
      <c r="Y4" s="3">
        <v>26</v>
      </c>
      <c r="Z4" s="3">
        <v>16500</v>
      </c>
      <c r="AA4">
        <f>Z4*0.9</f>
        <v>14850</v>
      </c>
    </row>
    <row r="5" spans="1:27" x14ac:dyDescent="0.35">
      <c r="A5" s="3">
        <v>4</v>
      </c>
      <c r="B5" s="3">
        <v>2</v>
      </c>
      <c r="C5" s="3" t="s">
        <v>41</v>
      </c>
      <c r="D5" s="3" t="s">
        <v>27</v>
      </c>
      <c r="E5" s="3" t="s">
        <v>28</v>
      </c>
      <c r="F5" s="3" t="s">
        <v>34</v>
      </c>
      <c r="G5" s="3" t="s">
        <v>42</v>
      </c>
      <c r="H5" s="3" t="s">
        <v>43</v>
      </c>
      <c r="I5" s="3" t="s">
        <v>32</v>
      </c>
      <c r="J5" s="3">
        <v>99.8</v>
      </c>
      <c r="K5" s="3">
        <v>176.6</v>
      </c>
      <c r="L5" s="3">
        <v>66.2</v>
      </c>
      <c r="M5" s="3">
        <v>54.3</v>
      </c>
      <c r="N5" s="3">
        <v>2337</v>
      </c>
      <c r="O5" s="3" t="s">
        <v>44</v>
      </c>
      <c r="P5" s="3" t="s">
        <v>34</v>
      </c>
      <c r="Q5" s="3">
        <v>109</v>
      </c>
      <c r="R5" s="3" t="s">
        <v>35</v>
      </c>
      <c r="S5" s="3">
        <v>3.19</v>
      </c>
      <c r="T5" s="3">
        <v>3.4</v>
      </c>
      <c r="U5" s="3">
        <v>10</v>
      </c>
      <c r="V5" s="3">
        <v>102</v>
      </c>
      <c r="W5" s="3">
        <v>5500</v>
      </c>
      <c r="X5" s="3">
        <v>24</v>
      </c>
      <c r="Y5" s="3">
        <v>30</v>
      </c>
      <c r="Z5" s="3">
        <v>13950</v>
      </c>
      <c r="AA5">
        <f t="shared" ref="AA5:AA68" si="0">Z5*0.9</f>
        <v>12555</v>
      </c>
    </row>
    <row r="6" spans="1:27" x14ac:dyDescent="0.35">
      <c r="A6" s="3">
        <v>5</v>
      </c>
      <c r="B6" s="3">
        <v>2</v>
      </c>
      <c r="C6" s="3" t="s">
        <v>45</v>
      </c>
      <c r="D6" s="3" t="s">
        <v>27</v>
      </c>
      <c r="E6" s="3" t="s">
        <v>28</v>
      </c>
      <c r="F6" s="3" t="s">
        <v>34</v>
      </c>
      <c r="G6" s="3" t="s">
        <v>42</v>
      </c>
      <c r="H6" s="3" t="s">
        <v>46</v>
      </c>
      <c r="I6" s="3" t="s">
        <v>32</v>
      </c>
      <c r="J6" s="3">
        <v>99.4</v>
      </c>
      <c r="K6" s="3">
        <v>176.6</v>
      </c>
      <c r="L6" s="3">
        <v>66.400000000000006</v>
      </c>
      <c r="M6" s="3">
        <v>54.3</v>
      </c>
      <c r="N6" s="3">
        <v>2824</v>
      </c>
      <c r="O6" s="3" t="s">
        <v>44</v>
      </c>
      <c r="P6" s="3" t="s">
        <v>47</v>
      </c>
      <c r="Q6" s="3">
        <v>136</v>
      </c>
      <c r="R6" s="3" t="s">
        <v>35</v>
      </c>
      <c r="S6" s="3">
        <v>3.19</v>
      </c>
      <c r="T6" s="3">
        <v>3.4</v>
      </c>
      <c r="U6" s="3">
        <v>8</v>
      </c>
      <c r="V6" s="3">
        <v>115</v>
      </c>
      <c r="W6" s="3">
        <v>5500</v>
      </c>
      <c r="X6" s="3">
        <v>18</v>
      </c>
      <c r="Y6" s="3">
        <v>22</v>
      </c>
      <c r="Z6" s="3">
        <v>17450</v>
      </c>
      <c r="AA6">
        <f t="shared" si="0"/>
        <v>15705</v>
      </c>
    </row>
    <row r="7" spans="1:27" x14ac:dyDescent="0.35">
      <c r="A7" s="3">
        <v>6</v>
      </c>
      <c r="B7" s="3">
        <v>2</v>
      </c>
      <c r="C7" s="3" t="s">
        <v>48</v>
      </c>
      <c r="D7" s="3" t="s">
        <v>27</v>
      </c>
      <c r="E7" s="3" t="s">
        <v>28</v>
      </c>
      <c r="F7" s="3" t="s">
        <v>29</v>
      </c>
      <c r="G7" s="3" t="s">
        <v>42</v>
      </c>
      <c r="H7" s="3" t="s">
        <v>43</v>
      </c>
      <c r="I7" s="3" t="s">
        <v>32</v>
      </c>
      <c r="J7" s="3">
        <v>99.8</v>
      </c>
      <c r="K7" s="3">
        <v>177.3</v>
      </c>
      <c r="L7" s="3">
        <v>66.3</v>
      </c>
      <c r="M7" s="3">
        <v>53.1</v>
      </c>
      <c r="N7" s="3">
        <v>2507</v>
      </c>
      <c r="O7" s="3" t="s">
        <v>44</v>
      </c>
      <c r="P7" s="3" t="s">
        <v>47</v>
      </c>
      <c r="Q7" s="3">
        <v>136</v>
      </c>
      <c r="R7" s="3" t="s">
        <v>35</v>
      </c>
      <c r="S7" s="3">
        <v>3.19</v>
      </c>
      <c r="T7" s="3">
        <v>3.4</v>
      </c>
      <c r="U7" s="3">
        <v>8.5</v>
      </c>
      <c r="V7" s="3">
        <v>110</v>
      </c>
      <c r="W7" s="3">
        <v>5500</v>
      </c>
      <c r="X7" s="3">
        <v>19</v>
      </c>
      <c r="Y7" s="3">
        <v>25</v>
      </c>
      <c r="Z7" s="3">
        <v>15250</v>
      </c>
      <c r="AA7">
        <f t="shared" si="0"/>
        <v>13725</v>
      </c>
    </row>
    <row r="8" spans="1:27" x14ac:dyDescent="0.35">
      <c r="A8" s="3">
        <v>7</v>
      </c>
      <c r="B8" s="3">
        <v>1</v>
      </c>
      <c r="C8" s="3" t="s">
        <v>45</v>
      </c>
      <c r="D8" s="3" t="s">
        <v>27</v>
      </c>
      <c r="E8" s="3" t="s">
        <v>28</v>
      </c>
      <c r="F8" s="3" t="s">
        <v>34</v>
      </c>
      <c r="G8" s="3" t="s">
        <v>42</v>
      </c>
      <c r="H8" s="3" t="s">
        <v>43</v>
      </c>
      <c r="I8" s="3" t="s">
        <v>32</v>
      </c>
      <c r="J8" s="3">
        <v>105.8</v>
      </c>
      <c r="K8" s="3">
        <v>192.7</v>
      </c>
      <c r="L8" s="3">
        <v>71.400000000000006</v>
      </c>
      <c r="M8" s="3">
        <v>55.7</v>
      </c>
      <c r="N8" s="3">
        <v>2844</v>
      </c>
      <c r="O8" s="3" t="s">
        <v>44</v>
      </c>
      <c r="P8" s="3" t="s">
        <v>47</v>
      </c>
      <c r="Q8" s="3">
        <v>136</v>
      </c>
      <c r="R8" s="3" t="s">
        <v>35</v>
      </c>
      <c r="S8" s="3">
        <v>3.19</v>
      </c>
      <c r="T8" s="3">
        <v>3.4</v>
      </c>
      <c r="U8" s="3">
        <v>8.5</v>
      </c>
      <c r="V8" s="3">
        <v>110</v>
      </c>
      <c r="W8" s="3">
        <v>5500</v>
      </c>
      <c r="X8" s="3">
        <v>19</v>
      </c>
      <c r="Y8" s="3">
        <v>25</v>
      </c>
      <c r="Z8" s="3">
        <v>17710</v>
      </c>
      <c r="AA8">
        <f t="shared" si="0"/>
        <v>15939</v>
      </c>
    </row>
    <row r="9" spans="1:27" x14ac:dyDescent="0.35">
      <c r="A9" s="3">
        <v>8</v>
      </c>
      <c r="B9" s="3">
        <v>1</v>
      </c>
      <c r="C9" s="3" t="s">
        <v>49</v>
      </c>
      <c r="D9" s="3" t="s">
        <v>27</v>
      </c>
      <c r="E9" s="3" t="s">
        <v>28</v>
      </c>
      <c r="F9" s="3" t="s">
        <v>34</v>
      </c>
      <c r="G9" s="3" t="s">
        <v>50</v>
      </c>
      <c r="H9" s="3" t="s">
        <v>43</v>
      </c>
      <c r="I9" s="3" t="s">
        <v>32</v>
      </c>
      <c r="J9" s="3">
        <v>105.8</v>
      </c>
      <c r="K9" s="3">
        <v>192.7</v>
      </c>
      <c r="L9" s="3">
        <v>71.400000000000006</v>
      </c>
      <c r="M9" s="3">
        <v>55.7</v>
      </c>
      <c r="N9" s="3">
        <v>2954</v>
      </c>
      <c r="O9" s="3" t="s">
        <v>44</v>
      </c>
      <c r="P9" s="3" t="s">
        <v>47</v>
      </c>
      <c r="Q9" s="3">
        <v>136</v>
      </c>
      <c r="R9" s="3" t="s">
        <v>35</v>
      </c>
      <c r="S9" s="3">
        <v>3.19</v>
      </c>
      <c r="T9" s="3">
        <v>3.4</v>
      </c>
      <c r="U9" s="3">
        <v>8.5</v>
      </c>
      <c r="V9" s="3">
        <v>110</v>
      </c>
      <c r="W9" s="3">
        <v>5500</v>
      </c>
      <c r="X9" s="3">
        <v>19</v>
      </c>
      <c r="Y9" s="3">
        <v>25</v>
      </c>
      <c r="Z9" s="3">
        <v>18920</v>
      </c>
      <c r="AA9">
        <f t="shared" si="0"/>
        <v>17028</v>
      </c>
    </row>
    <row r="10" spans="1:27" x14ac:dyDescent="0.35">
      <c r="A10" s="3">
        <v>9</v>
      </c>
      <c r="B10" s="3">
        <v>1</v>
      </c>
      <c r="C10" s="3" t="s">
        <v>51</v>
      </c>
      <c r="D10" s="3" t="s">
        <v>27</v>
      </c>
      <c r="E10" s="3" t="s">
        <v>52</v>
      </c>
      <c r="F10" s="3" t="s">
        <v>34</v>
      </c>
      <c r="G10" s="3" t="s">
        <v>42</v>
      </c>
      <c r="H10" s="3" t="s">
        <v>43</v>
      </c>
      <c r="I10" s="3" t="s">
        <v>32</v>
      </c>
      <c r="J10" s="3">
        <v>105.8</v>
      </c>
      <c r="K10" s="3">
        <v>192.7</v>
      </c>
      <c r="L10" s="3">
        <v>71.400000000000006</v>
      </c>
      <c r="M10" s="3">
        <v>55.9</v>
      </c>
      <c r="N10" s="3">
        <v>3086</v>
      </c>
      <c r="O10" s="3" t="s">
        <v>44</v>
      </c>
      <c r="P10" s="3" t="s">
        <v>47</v>
      </c>
      <c r="Q10" s="3">
        <v>131</v>
      </c>
      <c r="R10" s="3" t="s">
        <v>35</v>
      </c>
      <c r="S10" s="3">
        <v>3.13</v>
      </c>
      <c r="T10" s="3">
        <v>3.4</v>
      </c>
      <c r="U10" s="3">
        <v>8.3000000000000007</v>
      </c>
      <c r="V10" s="3">
        <v>140</v>
      </c>
      <c r="W10" s="3">
        <v>5500</v>
      </c>
      <c r="X10" s="3">
        <v>17</v>
      </c>
      <c r="Y10" s="3">
        <v>20</v>
      </c>
      <c r="Z10" s="3">
        <v>23875</v>
      </c>
      <c r="AA10">
        <f t="shared" si="0"/>
        <v>21487.5</v>
      </c>
    </row>
    <row r="11" spans="1:27" x14ac:dyDescent="0.35">
      <c r="A11" s="3">
        <v>10</v>
      </c>
      <c r="B11" s="3">
        <v>0</v>
      </c>
      <c r="C11" s="3" t="s">
        <v>53</v>
      </c>
      <c r="D11" s="3" t="s">
        <v>27</v>
      </c>
      <c r="E11" s="3" t="s">
        <v>52</v>
      </c>
      <c r="F11" s="3" t="s">
        <v>29</v>
      </c>
      <c r="G11" s="3" t="s">
        <v>38</v>
      </c>
      <c r="H11" s="3" t="s">
        <v>46</v>
      </c>
      <c r="I11" s="3" t="s">
        <v>32</v>
      </c>
      <c r="J11" s="3">
        <v>99.5</v>
      </c>
      <c r="K11" s="3">
        <v>178.2</v>
      </c>
      <c r="L11" s="3">
        <v>67.900000000000006</v>
      </c>
      <c r="M11" s="3">
        <v>52</v>
      </c>
      <c r="N11" s="3">
        <v>3053</v>
      </c>
      <c r="O11" s="3" t="s">
        <v>44</v>
      </c>
      <c r="P11" s="3" t="s">
        <v>47</v>
      </c>
      <c r="Q11" s="3">
        <v>131</v>
      </c>
      <c r="R11" s="3" t="s">
        <v>35</v>
      </c>
      <c r="S11" s="3">
        <v>3.13</v>
      </c>
      <c r="T11" s="3">
        <v>3.4</v>
      </c>
      <c r="U11" s="3">
        <v>7</v>
      </c>
      <c r="V11" s="3">
        <v>160</v>
      </c>
      <c r="W11" s="3">
        <v>5500</v>
      </c>
      <c r="X11" s="3">
        <v>16</v>
      </c>
      <c r="Y11" s="3">
        <v>22</v>
      </c>
      <c r="Z11" s="3">
        <v>17859.167000000001</v>
      </c>
      <c r="AA11">
        <f t="shared" si="0"/>
        <v>16073.250300000002</v>
      </c>
    </row>
    <row r="12" spans="1:27" x14ac:dyDescent="0.35">
      <c r="A12" s="3">
        <v>11</v>
      </c>
      <c r="B12" s="3">
        <v>2</v>
      </c>
      <c r="C12" s="3" t="s">
        <v>54</v>
      </c>
      <c r="D12" s="3" t="s">
        <v>27</v>
      </c>
      <c r="E12" s="3" t="s">
        <v>28</v>
      </c>
      <c r="F12" s="3" t="s">
        <v>29</v>
      </c>
      <c r="G12" s="3" t="s">
        <v>42</v>
      </c>
      <c r="H12" s="3" t="s">
        <v>31</v>
      </c>
      <c r="I12" s="3" t="s">
        <v>32</v>
      </c>
      <c r="J12" s="3">
        <v>101.2</v>
      </c>
      <c r="K12" s="3">
        <v>176.8</v>
      </c>
      <c r="L12" s="3">
        <v>64.8</v>
      </c>
      <c r="M12" s="3">
        <v>54.3</v>
      </c>
      <c r="N12" s="3">
        <v>2395</v>
      </c>
      <c r="O12" s="3" t="s">
        <v>44</v>
      </c>
      <c r="P12" s="3" t="s">
        <v>34</v>
      </c>
      <c r="Q12" s="3">
        <v>108</v>
      </c>
      <c r="R12" s="3" t="s">
        <v>35</v>
      </c>
      <c r="S12" s="3">
        <v>3.5</v>
      </c>
      <c r="T12" s="3">
        <v>2.8</v>
      </c>
      <c r="U12" s="3">
        <v>8.8000000000000007</v>
      </c>
      <c r="V12" s="3">
        <v>101</v>
      </c>
      <c r="W12" s="3">
        <v>5800</v>
      </c>
      <c r="X12" s="3">
        <v>23</v>
      </c>
      <c r="Y12" s="3">
        <v>29</v>
      </c>
      <c r="Z12" s="3">
        <v>16430</v>
      </c>
      <c r="AA12">
        <f t="shared" si="0"/>
        <v>14787</v>
      </c>
    </row>
    <row r="13" spans="1:27" x14ac:dyDescent="0.35">
      <c r="A13" s="3">
        <v>12</v>
      </c>
      <c r="B13" s="3">
        <v>0</v>
      </c>
      <c r="C13" s="3" t="s">
        <v>54</v>
      </c>
      <c r="D13" s="3" t="s">
        <v>27</v>
      </c>
      <c r="E13" s="3" t="s">
        <v>28</v>
      </c>
      <c r="F13" s="3" t="s">
        <v>34</v>
      </c>
      <c r="G13" s="3" t="s">
        <v>42</v>
      </c>
      <c r="H13" s="3" t="s">
        <v>31</v>
      </c>
      <c r="I13" s="3" t="s">
        <v>32</v>
      </c>
      <c r="J13" s="3">
        <v>101.2</v>
      </c>
      <c r="K13" s="3">
        <v>176.8</v>
      </c>
      <c r="L13" s="3">
        <v>64.8</v>
      </c>
      <c r="M13" s="3">
        <v>54.3</v>
      </c>
      <c r="N13" s="3">
        <v>2395</v>
      </c>
      <c r="O13" s="3" t="s">
        <v>44</v>
      </c>
      <c r="P13" s="3" t="s">
        <v>34</v>
      </c>
      <c r="Q13" s="3">
        <v>108</v>
      </c>
      <c r="R13" s="3" t="s">
        <v>35</v>
      </c>
      <c r="S13" s="3">
        <v>3.5</v>
      </c>
      <c r="T13" s="3">
        <v>2.8</v>
      </c>
      <c r="U13" s="3">
        <v>8.8000000000000007</v>
      </c>
      <c r="V13" s="3">
        <v>101</v>
      </c>
      <c r="W13" s="3">
        <v>5800</v>
      </c>
      <c r="X13" s="3">
        <v>23</v>
      </c>
      <c r="Y13" s="3">
        <v>29</v>
      </c>
      <c r="Z13" s="3">
        <v>16925</v>
      </c>
      <c r="AA13">
        <f t="shared" si="0"/>
        <v>15232.5</v>
      </c>
    </row>
    <row r="14" spans="1:27" x14ac:dyDescent="0.35">
      <c r="A14" s="3">
        <v>13</v>
      </c>
      <c r="B14" s="3">
        <v>0</v>
      </c>
      <c r="C14" s="3" t="s">
        <v>55</v>
      </c>
      <c r="D14" s="3" t="s">
        <v>27</v>
      </c>
      <c r="E14" s="3" t="s">
        <v>28</v>
      </c>
      <c r="F14" s="3" t="s">
        <v>29</v>
      </c>
      <c r="G14" s="3" t="s">
        <v>42</v>
      </c>
      <c r="H14" s="3" t="s">
        <v>31</v>
      </c>
      <c r="I14" s="3" t="s">
        <v>32</v>
      </c>
      <c r="J14" s="3">
        <v>101.2</v>
      </c>
      <c r="K14" s="3">
        <v>176.8</v>
      </c>
      <c r="L14" s="3">
        <v>64.8</v>
      </c>
      <c r="M14" s="3">
        <v>54.3</v>
      </c>
      <c r="N14" s="3">
        <v>2710</v>
      </c>
      <c r="O14" s="3" t="s">
        <v>44</v>
      </c>
      <c r="P14" s="3" t="s">
        <v>40</v>
      </c>
      <c r="Q14" s="3">
        <v>164</v>
      </c>
      <c r="R14" s="3" t="s">
        <v>35</v>
      </c>
      <c r="S14" s="3">
        <v>3.31</v>
      </c>
      <c r="T14" s="3">
        <v>3.19</v>
      </c>
      <c r="U14" s="3">
        <v>9</v>
      </c>
      <c r="V14" s="3">
        <v>121</v>
      </c>
      <c r="W14" s="3">
        <v>4250</v>
      </c>
      <c r="X14" s="3">
        <v>21</v>
      </c>
      <c r="Y14" s="3">
        <v>28</v>
      </c>
      <c r="Z14" s="3">
        <v>20970</v>
      </c>
      <c r="AA14">
        <f t="shared" si="0"/>
        <v>18873</v>
      </c>
    </row>
    <row r="15" spans="1:27" x14ac:dyDescent="0.35">
      <c r="A15" s="3">
        <v>14</v>
      </c>
      <c r="B15" s="3">
        <v>0</v>
      </c>
      <c r="C15" s="3" t="s">
        <v>56</v>
      </c>
      <c r="D15" s="3" t="s">
        <v>27</v>
      </c>
      <c r="E15" s="3" t="s">
        <v>28</v>
      </c>
      <c r="F15" s="3" t="s">
        <v>34</v>
      </c>
      <c r="G15" s="3" t="s">
        <v>42</v>
      </c>
      <c r="H15" s="3" t="s">
        <v>31</v>
      </c>
      <c r="I15" s="3" t="s">
        <v>32</v>
      </c>
      <c r="J15" s="3">
        <v>101.2</v>
      </c>
      <c r="K15" s="3">
        <v>176.8</v>
      </c>
      <c r="L15" s="3">
        <v>64.8</v>
      </c>
      <c r="M15" s="3">
        <v>54.3</v>
      </c>
      <c r="N15" s="3">
        <v>2765</v>
      </c>
      <c r="O15" s="3" t="s">
        <v>44</v>
      </c>
      <c r="P15" s="3" t="s">
        <v>40</v>
      </c>
      <c r="Q15" s="3">
        <v>164</v>
      </c>
      <c r="R15" s="3" t="s">
        <v>35</v>
      </c>
      <c r="S15" s="3">
        <v>3.31</v>
      </c>
      <c r="T15" s="3">
        <v>3.19</v>
      </c>
      <c r="U15" s="3">
        <v>9</v>
      </c>
      <c r="V15" s="3">
        <v>121</v>
      </c>
      <c r="W15" s="3">
        <v>4250</v>
      </c>
      <c r="X15" s="3">
        <v>21</v>
      </c>
      <c r="Y15" s="3">
        <v>28</v>
      </c>
      <c r="Z15" s="3">
        <v>21105</v>
      </c>
      <c r="AA15">
        <f t="shared" si="0"/>
        <v>18994.5</v>
      </c>
    </row>
    <row r="16" spans="1:27" x14ac:dyDescent="0.35">
      <c r="A16" s="3">
        <v>15</v>
      </c>
      <c r="B16" s="3">
        <v>1</v>
      </c>
      <c r="C16" s="3" t="s">
        <v>57</v>
      </c>
      <c r="D16" s="3" t="s">
        <v>27</v>
      </c>
      <c r="E16" s="3" t="s">
        <v>28</v>
      </c>
      <c r="F16" s="3" t="s">
        <v>34</v>
      </c>
      <c r="G16" s="3" t="s">
        <v>42</v>
      </c>
      <c r="H16" s="3" t="s">
        <v>31</v>
      </c>
      <c r="I16" s="3" t="s">
        <v>32</v>
      </c>
      <c r="J16" s="3">
        <v>103.5</v>
      </c>
      <c r="K16" s="3">
        <v>189</v>
      </c>
      <c r="L16" s="3">
        <v>66.900000000000006</v>
      </c>
      <c r="M16" s="3">
        <v>55.7</v>
      </c>
      <c r="N16" s="3">
        <v>3055</v>
      </c>
      <c r="O16" s="3" t="s">
        <v>44</v>
      </c>
      <c r="P16" s="3" t="s">
        <v>40</v>
      </c>
      <c r="Q16" s="3">
        <v>164</v>
      </c>
      <c r="R16" s="3" t="s">
        <v>35</v>
      </c>
      <c r="S16" s="3">
        <v>3.31</v>
      </c>
      <c r="T16" s="3">
        <v>3.19</v>
      </c>
      <c r="U16" s="3">
        <v>9</v>
      </c>
      <c r="V16" s="3">
        <v>121</v>
      </c>
      <c r="W16" s="3">
        <v>4250</v>
      </c>
      <c r="X16" s="3">
        <v>20</v>
      </c>
      <c r="Y16" s="3">
        <v>25</v>
      </c>
      <c r="Z16" s="3">
        <v>24565</v>
      </c>
      <c r="AA16">
        <f t="shared" si="0"/>
        <v>22108.5</v>
      </c>
    </row>
    <row r="17" spans="1:27" x14ac:dyDescent="0.35">
      <c r="A17" s="3">
        <v>16</v>
      </c>
      <c r="B17" s="3">
        <v>0</v>
      </c>
      <c r="C17" s="3" t="s">
        <v>58</v>
      </c>
      <c r="D17" s="3" t="s">
        <v>27</v>
      </c>
      <c r="E17" s="3" t="s">
        <v>28</v>
      </c>
      <c r="F17" s="3" t="s">
        <v>34</v>
      </c>
      <c r="G17" s="3" t="s">
        <v>42</v>
      </c>
      <c r="H17" s="3" t="s">
        <v>31</v>
      </c>
      <c r="I17" s="3" t="s">
        <v>32</v>
      </c>
      <c r="J17" s="3">
        <v>103.5</v>
      </c>
      <c r="K17" s="3">
        <v>189</v>
      </c>
      <c r="L17" s="3">
        <v>66.900000000000006</v>
      </c>
      <c r="M17" s="3">
        <v>55.7</v>
      </c>
      <c r="N17" s="3">
        <v>3230</v>
      </c>
      <c r="O17" s="3" t="s">
        <v>44</v>
      </c>
      <c r="P17" s="3" t="s">
        <v>40</v>
      </c>
      <c r="Q17" s="3">
        <v>209</v>
      </c>
      <c r="R17" s="3" t="s">
        <v>35</v>
      </c>
      <c r="S17" s="3">
        <v>3.62</v>
      </c>
      <c r="T17" s="3">
        <v>3.39</v>
      </c>
      <c r="U17" s="3">
        <v>8</v>
      </c>
      <c r="V17" s="3">
        <v>182</v>
      </c>
      <c r="W17" s="3">
        <v>5400</v>
      </c>
      <c r="X17" s="3">
        <v>16</v>
      </c>
      <c r="Y17" s="3">
        <v>22</v>
      </c>
      <c r="Z17" s="3">
        <v>30760</v>
      </c>
      <c r="AA17">
        <f t="shared" si="0"/>
        <v>27684</v>
      </c>
    </row>
    <row r="18" spans="1:27" x14ac:dyDescent="0.35">
      <c r="A18" s="3">
        <v>17</v>
      </c>
      <c r="B18" s="3">
        <v>0</v>
      </c>
      <c r="C18" s="3" t="s">
        <v>59</v>
      </c>
      <c r="D18" s="3" t="s">
        <v>27</v>
      </c>
      <c r="E18" s="3" t="s">
        <v>28</v>
      </c>
      <c r="F18" s="3" t="s">
        <v>29</v>
      </c>
      <c r="G18" s="3" t="s">
        <v>42</v>
      </c>
      <c r="H18" s="3" t="s">
        <v>31</v>
      </c>
      <c r="I18" s="3" t="s">
        <v>32</v>
      </c>
      <c r="J18" s="3">
        <v>103.5</v>
      </c>
      <c r="K18" s="3">
        <v>193.8</v>
      </c>
      <c r="L18" s="3">
        <v>67.900000000000006</v>
      </c>
      <c r="M18" s="3">
        <v>53.7</v>
      </c>
      <c r="N18" s="3">
        <v>3380</v>
      </c>
      <c r="O18" s="3" t="s">
        <v>44</v>
      </c>
      <c r="P18" s="3" t="s">
        <v>40</v>
      </c>
      <c r="Q18" s="3">
        <v>209</v>
      </c>
      <c r="R18" s="3" t="s">
        <v>35</v>
      </c>
      <c r="S18" s="3">
        <v>3.62</v>
      </c>
      <c r="T18" s="3">
        <v>3.39</v>
      </c>
      <c r="U18" s="3">
        <v>8</v>
      </c>
      <c r="V18" s="3">
        <v>182</v>
      </c>
      <c r="W18" s="3">
        <v>5400</v>
      </c>
      <c r="X18" s="3">
        <v>16</v>
      </c>
      <c r="Y18" s="3">
        <v>22</v>
      </c>
      <c r="Z18" s="3">
        <v>41315</v>
      </c>
      <c r="AA18">
        <f t="shared" si="0"/>
        <v>37183.5</v>
      </c>
    </row>
    <row r="19" spans="1:27" x14ac:dyDescent="0.35">
      <c r="A19" s="3">
        <v>18</v>
      </c>
      <c r="B19" s="3">
        <v>0</v>
      </c>
      <c r="C19" s="3" t="s">
        <v>56</v>
      </c>
      <c r="D19" s="3" t="s">
        <v>27</v>
      </c>
      <c r="E19" s="3" t="s">
        <v>28</v>
      </c>
      <c r="F19" s="3" t="s">
        <v>34</v>
      </c>
      <c r="G19" s="3" t="s">
        <v>42</v>
      </c>
      <c r="H19" s="3" t="s">
        <v>31</v>
      </c>
      <c r="I19" s="3" t="s">
        <v>32</v>
      </c>
      <c r="J19" s="3">
        <v>110</v>
      </c>
      <c r="K19" s="3">
        <v>197</v>
      </c>
      <c r="L19" s="3">
        <v>70.900000000000006</v>
      </c>
      <c r="M19" s="3">
        <v>56.3</v>
      </c>
      <c r="N19" s="3">
        <v>3505</v>
      </c>
      <c r="O19" s="3" t="s">
        <v>44</v>
      </c>
      <c r="P19" s="3" t="s">
        <v>40</v>
      </c>
      <c r="Q19" s="3">
        <v>209</v>
      </c>
      <c r="R19" s="3" t="s">
        <v>35</v>
      </c>
      <c r="S19" s="3">
        <v>3.62</v>
      </c>
      <c r="T19" s="3">
        <v>3.39</v>
      </c>
      <c r="U19" s="3">
        <v>8</v>
      </c>
      <c r="V19" s="3">
        <v>182</v>
      </c>
      <c r="W19" s="3">
        <v>5400</v>
      </c>
      <c r="X19" s="3">
        <v>15</v>
      </c>
      <c r="Y19" s="3">
        <v>20</v>
      </c>
      <c r="Z19" s="3">
        <v>36880</v>
      </c>
      <c r="AA19">
        <f t="shared" si="0"/>
        <v>33192</v>
      </c>
    </row>
    <row r="20" spans="1:27" x14ac:dyDescent="0.35">
      <c r="A20" s="3">
        <v>19</v>
      </c>
      <c r="B20" s="3">
        <v>2</v>
      </c>
      <c r="C20" s="3" t="s">
        <v>60</v>
      </c>
      <c r="D20" s="3" t="s">
        <v>27</v>
      </c>
      <c r="E20" s="3" t="s">
        <v>28</v>
      </c>
      <c r="F20" s="3" t="s">
        <v>29</v>
      </c>
      <c r="G20" s="3" t="s">
        <v>38</v>
      </c>
      <c r="H20" s="3" t="s">
        <v>43</v>
      </c>
      <c r="I20" s="3" t="s">
        <v>32</v>
      </c>
      <c r="J20" s="3">
        <v>88.4</v>
      </c>
      <c r="K20" s="3">
        <v>141.1</v>
      </c>
      <c r="L20" s="3">
        <v>60.3</v>
      </c>
      <c r="M20" s="3">
        <v>53.2</v>
      </c>
      <c r="N20" s="3">
        <v>1488</v>
      </c>
      <c r="O20" s="3" t="s">
        <v>61</v>
      </c>
      <c r="P20" s="3" t="s">
        <v>62</v>
      </c>
      <c r="Q20" s="3">
        <v>61</v>
      </c>
      <c r="R20" s="3" t="s">
        <v>63</v>
      </c>
      <c r="S20" s="3">
        <v>2.91</v>
      </c>
      <c r="T20" s="3">
        <v>3.03</v>
      </c>
      <c r="U20" s="3">
        <v>9.5</v>
      </c>
      <c r="V20" s="3">
        <v>48</v>
      </c>
      <c r="W20" s="3">
        <v>5100</v>
      </c>
      <c r="X20" s="3">
        <v>47</v>
      </c>
      <c r="Y20" s="3">
        <v>53</v>
      </c>
      <c r="Z20" s="3">
        <v>5151</v>
      </c>
      <c r="AA20">
        <f t="shared" si="0"/>
        <v>4635.9000000000005</v>
      </c>
    </row>
    <row r="21" spans="1:27" x14ac:dyDescent="0.35">
      <c r="A21" s="3">
        <v>20</v>
      </c>
      <c r="B21" s="3">
        <v>1</v>
      </c>
      <c r="C21" s="3" t="s">
        <v>64</v>
      </c>
      <c r="D21" s="3" t="s">
        <v>27</v>
      </c>
      <c r="E21" s="3" t="s">
        <v>28</v>
      </c>
      <c r="F21" s="3" t="s">
        <v>29</v>
      </c>
      <c r="G21" s="3" t="s">
        <v>38</v>
      </c>
      <c r="H21" s="3" t="s">
        <v>43</v>
      </c>
      <c r="I21" s="3" t="s">
        <v>32</v>
      </c>
      <c r="J21" s="3">
        <v>94.5</v>
      </c>
      <c r="K21" s="3">
        <v>155.9</v>
      </c>
      <c r="L21" s="3">
        <v>63.6</v>
      </c>
      <c r="M21" s="3">
        <v>52</v>
      </c>
      <c r="N21" s="3">
        <v>1874</v>
      </c>
      <c r="O21" s="3" t="s">
        <v>44</v>
      </c>
      <c r="P21" s="3" t="s">
        <v>34</v>
      </c>
      <c r="Q21" s="3">
        <v>90</v>
      </c>
      <c r="R21" s="3" t="s">
        <v>63</v>
      </c>
      <c r="S21" s="3">
        <v>3.03</v>
      </c>
      <c r="T21" s="3">
        <v>3.11</v>
      </c>
      <c r="U21" s="3">
        <v>9.6</v>
      </c>
      <c r="V21" s="3">
        <v>70</v>
      </c>
      <c r="W21" s="3">
        <v>5400</v>
      </c>
      <c r="X21" s="3">
        <v>38</v>
      </c>
      <c r="Y21" s="3">
        <v>43</v>
      </c>
      <c r="Z21" s="3">
        <v>6295</v>
      </c>
      <c r="AA21">
        <f t="shared" si="0"/>
        <v>5665.5</v>
      </c>
    </row>
    <row r="22" spans="1:27" x14ac:dyDescent="0.35">
      <c r="A22" s="3">
        <v>21</v>
      </c>
      <c r="B22" s="3">
        <v>0</v>
      </c>
      <c r="C22" s="3" t="s">
        <v>65</v>
      </c>
      <c r="D22" s="3" t="s">
        <v>27</v>
      </c>
      <c r="E22" s="3" t="s">
        <v>28</v>
      </c>
      <c r="F22" s="3" t="s">
        <v>34</v>
      </c>
      <c r="G22" s="3" t="s">
        <v>42</v>
      </c>
      <c r="H22" s="3" t="s">
        <v>43</v>
      </c>
      <c r="I22" s="3" t="s">
        <v>32</v>
      </c>
      <c r="J22" s="3">
        <v>94.5</v>
      </c>
      <c r="K22" s="3">
        <v>158.80000000000001</v>
      </c>
      <c r="L22" s="3">
        <v>63.6</v>
      </c>
      <c r="M22" s="3">
        <v>52</v>
      </c>
      <c r="N22" s="3">
        <v>1909</v>
      </c>
      <c r="O22" s="3" t="s">
        <v>44</v>
      </c>
      <c r="P22" s="3" t="s">
        <v>34</v>
      </c>
      <c r="Q22" s="3">
        <v>90</v>
      </c>
      <c r="R22" s="3" t="s">
        <v>63</v>
      </c>
      <c r="S22" s="3">
        <v>3.03</v>
      </c>
      <c r="T22" s="3">
        <v>3.11</v>
      </c>
      <c r="U22" s="3">
        <v>9.6</v>
      </c>
      <c r="V22" s="3">
        <v>70</v>
      </c>
      <c r="W22" s="3">
        <v>5400</v>
      </c>
      <c r="X22" s="3">
        <v>38</v>
      </c>
      <c r="Y22" s="3">
        <v>43</v>
      </c>
      <c r="Z22" s="3">
        <v>6575</v>
      </c>
      <c r="AA22">
        <f t="shared" si="0"/>
        <v>5917.5</v>
      </c>
    </row>
    <row r="23" spans="1:27" x14ac:dyDescent="0.35">
      <c r="A23" s="3">
        <v>22</v>
      </c>
      <c r="B23" s="3">
        <v>1</v>
      </c>
      <c r="C23" s="3" t="s">
        <v>66</v>
      </c>
      <c r="D23" s="3" t="s">
        <v>27</v>
      </c>
      <c r="E23" s="3" t="s">
        <v>28</v>
      </c>
      <c r="F23" s="3" t="s">
        <v>29</v>
      </c>
      <c r="G23" s="3" t="s">
        <v>38</v>
      </c>
      <c r="H23" s="3" t="s">
        <v>43</v>
      </c>
      <c r="I23" s="3" t="s">
        <v>32</v>
      </c>
      <c r="J23" s="3">
        <v>93.7</v>
      </c>
      <c r="K23" s="3">
        <v>157.30000000000001</v>
      </c>
      <c r="L23" s="3">
        <v>63.8</v>
      </c>
      <c r="M23" s="3">
        <v>50.8</v>
      </c>
      <c r="N23" s="3">
        <v>1876</v>
      </c>
      <c r="O23" s="3" t="s">
        <v>44</v>
      </c>
      <c r="P23" s="3" t="s">
        <v>34</v>
      </c>
      <c r="Q23" s="3">
        <v>90</v>
      </c>
      <c r="R23" s="3" t="s">
        <v>63</v>
      </c>
      <c r="S23" s="3">
        <v>2.97</v>
      </c>
      <c r="T23" s="3">
        <v>3.23</v>
      </c>
      <c r="U23" s="3">
        <v>9.41</v>
      </c>
      <c r="V23" s="3">
        <v>68</v>
      </c>
      <c r="W23" s="3">
        <v>5500</v>
      </c>
      <c r="X23" s="3">
        <v>37</v>
      </c>
      <c r="Y23" s="3">
        <v>41</v>
      </c>
      <c r="Z23" s="3">
        <v>5572</v>
      </c>
      <c r="AA23">
        <f t="shared" si="0"/>
        <v>5014.8</v>
      </c>
    </row>
    <row r="24" spans="1:27" x14ac:dyDescent="0.35">
      <c r="A24" s="3">
        <v>23</v>
      </c>
      <c r="B24" s="3">
        <v>1</v>
      </c>
      <c r="C24" s="3" t="s">
        <v>67</v>
      </c>
      <c r="D24" s="3" t="s">
        <v>27</v>
      </c>
      <c r="E24" s="3" t="s">
        <v>28</v>
      </c>
      <c r="F24" s="3" t="s">
        <v>29</v>
      </c>
      <c r="G24" s="3" t="s">
        <v>38</v>
      </c>
      <c r="H24" s="3" t="s">
        <v>43</v>
      </c>
      <c r="I24" s="3" t="s">
        <v>32</v>
      </c>
      <c r="J24" s="3">
        <v>93.7</v>
      </c>
      <c r="K24" s="3">
        <v>157.30000000000001</v>
      </c>
      <c r="L24" s="3">
        <v>63.8</v>
      </c>
      <c r="M24" s="3">
        <v>50.8</v>
      </c>
      <c r="N24" s="3">
        <v>1876</v>
      </c>
      <c r="O24" s="3" t="s">
        <v>44</v>
      </c>
      <c r="P24" s="3" t="s">
        <v>34</v>
      </c>
      <c r="Q24" s="3">
        <v>90</v>
      </c>
      <c r="R24" s="3" t="s">
        <v>63</v>
      </c>
      <c r="S24" s="3">
        <v>2.97</v>
      </c>
      <c r="T24" s="3">
        <v>3.23</v>
      </c>
      <c r="U24" s="3">
        <v>9.4</v>
      </c>
      <c r="V24" s="3">
        <v>68</v>
      </c>
      <c r="W24" s="3">
        <v>5500</v>
      </c>
      <c r="X24" s="3">
        <v>31</v>
      </c>
      <c r="Y24" s="3">
        <v>38</v>
      </c>
      <c r="Z24" s="3">
        <v>6377</v>
      </c>
      <c r="AA24">
        <f t="shared" si="0"/>
        <v>5739.3</v>
      </c>
    </row>
    <row r="25" spans="1:27" x14ac:dyDescent="0.35">
      <c r="A25" s="3">
        <v>24</v>
      </c>
      <c r="B25" s="3">
        <v>1</v>
      </c>
      <c r="C25" s="3" t="s">
        <v>68</v>
      </c>
      <c r="D25" s="3" t="s">
        <v>27</v>
      </c>
      <c r="E25" s="3" t="s">
        <v>52</v>
      </c>
      <c r="F25" s="3" t="s">
        <v>29</v>
      </c>
      <c r="G25" s="3" t="s">
        <v>38</v>
      </c>
      <c r="H25" s="3" t="s">
        <v>43</v>
      </c>
      <c r="I25" s="3" t="s">
        <v>32</v>
      </c>
      <c r="J25" s="3">
        <v>93.7</v>
      </c>
      <c r="K25" s="3">
        <v>157.30000000000001</v>
      </c>
      <c r="L25" s="3">
        <v>63.8</v>
      </c>
      <c r="M25" s="3">
        <v>50.8</v>
      </c>
      <c r="N25" s="3">
        <v>2128</v>
      </c>
      <c r="O25" s="3" t="s">
        <v>44</v>
      </c>
      <c r="P25" s="3" t="s">
        <v>34</v>
      </c>
      <c r="Q25" s="3">
        <v>98</v>
      </c>
      <c r="R25" s="3" t="s">
        <v>35</v>
      </c>
      <c r="S25" s="3">
        <v>3.03</v>
      </c>
      <c r="T25" s="3">
        <v>3.39</v>
      </c>
      <c r="U25" s="3">
        <v>7.6</v>
      </c>
      <c r="V25" s="3">
        <v>102</v>
      </c>
      <c r="W25" s="3">
        <v>5500</v>
      </c>
      <c r="X25" s="3">
        <v>24</v>
      </c>
      <c r="Y25" s="3">
        <v>30</v>
      </c>
      <c r="Z25" s="3">
        <v>7957</v>
      </c>
      <c r="AA25">
        <f t="shared" si="0"/>
        <v>7161.3</v>
      </c>
    </row>
    <row r="26" spans="1:27" x14ac:dyDescent="0.35">
      <c r="A26" s="3">
        <v>25</v>
      </c>
      <c r="B26" s="3">
        <v>1</v>
      </c>
      <c r="C26" s="3" t="s">
        <v>69</v>
      </c>
      <c r="D26" s="3" t="s">
        <v>27</v>
      </c>
      <c r="E26" s="3" t="s">
        <v>28</v>
      </c>
      <c r="F26" s="3" t="s">
        <v>34</v>
      </c>
      <c r="G26" s="3" t="s">
        <v>38</v>
      </c>
      <c r="H26" s="3" t="s">
        <v>43</v>
      </c>
      <c r="I26" s="3" t="s">
        <v>32</v>
      </c>
      <c r="J26" s="3">
        <v>93.7</v>
      </c>
      <c r="K26" s="3">
        <v>157.30000000000001</v>
      </c>
      <c r="L26" s="3">
        <v>63.8</v>
      </c>
      <c r="M26" s="3">
        <v>50.6</v>
      </c>
      <c r="N26" s="3">
        <v>1967</v>
      </c>
      <c r="O26" s="3" t="s">
        <v>44</v>
      </c>
      <c r="P26" s="3" t="s">
        <v>34</v>
      </c>
      <c r="Q26" s="3">
        <v>90</v>
      </c>
      <c r="R26" s="3" t="s">
        <v>63</v>
      </c>
      <c r="S26" s="3">
        <v>2.97</v>
      </c>
      <c r="T26" s="3">
        <v>3.23</v>
      </c>
      <c r="U26" s="3">
        <v>9.4</v>
      </c>
      <c r="V26" s="3">
        <v>68</v>
      </c>
      <c r="W26" s="3">
        <v>5500</v>
      </c>
      <c r="X26" s="3">
        <v>31</v>
      </c>
      <c r="Y26" s="3">
        <v>38</v>
      </c>
      <c r="Z26" s="3">
        <v>6229</v>
      </c>
      <c r="AA26">
        <f t="shared" si="0"/>
        <v>5606.1</v>
      </c>
    </row>
    <row r="27" spans="1:27" x14ac:dyDescent="0.35">
      <c r="A27" s="3">
        <v>26</v>
      </c>
      <c r="B27" s="3">
        <v>1</v>
      </c>
      <c r="C27" s="3" t="s">
        <v>70</v>
      </c>
      <c r="D27" s="3" t="s">
        <v>27</v>
      </c>
      <c r="E27" s="3" t="s">
        <v>28</v>
      </c>
      <c r="F27" s="3" t="s">
        <v>34</v>
      </c>
      <c r="G27" s="3" t="s">
        <v>42</v>
      </c>
      <c r="H27" s="3" t="s">
        <v>43</v>
      </c>
      <c r="I27" s="3" t="s">
        <v>32</v>
      </c>
      <c r="J27" s="3">
        <v>93.7</v>
      </c>
      <c r="K27" s="3">
        <v>157.30000000000001</v>
      </c>
      <c r="L27" s="3">
        <v>63.8</v>
      </c>
      <c r="M27" s="3">
        <v>50.6</v>
      </c>
      <c r="N27" s="3">
        <v>1989</v>
      </c>
      <c r="O27" s="3" t="s">
        <v>44</v>
      </c>
      <c r="P27" s="3" t="s">
        <v>34</v>
      </c>
      <c r="Q27" s="3">
        <v>90</v>
      </c>
      <c r="R27" s="3" t="s">
        <v>63</v>
      </c>
      <c r="S27" s="3">
        <v>2.97</v>
      </c>
      <c r="T27" s="3">
        <v>3.23</v>
      </c>
      <c r="U27" s="3">
        <v>9.4</v>
      </c>
      <c r="V27" s="3">
        <v>68</v>
      </c>
      <c r="W27" s="3">
        <v>5500</v>
      </c>
      <c r="X27" s="3">
        <v>31</v>
      </c>
      <c r="Y27" s="3">
        <v>38</v>
      </c>
      <c r="Z27" s="3">
        <v>6692</v>
      </c>
      <c r="AA27">
        <f t="shared" si="0"/>
        <v>6022.8</v>
      </c>
    </row>
    <row r="28" spans="1:27" x14ac:dyDescent="0.35">
      <c r="A28" s="3">
        <v>27</v>
      </c>
      <c r="B28" s="3">
        <v>1</v>
      </c>
      <c r="C28" s="3" t="s">
        <v>71</v>
      </c>
      <c r="D28" s="3" t="s">
        <v>27</v>
      </c>
      <c r="E28" s="3" t="s">
        <v>28</v>
      </c>
      <c r="F28" s="3" t="s">
        <v>34</v>
      </c>
      <c r="G28" s="3" t="s">
        <v>42</v>
      </c>
      <c r="H28" s="3" t="s">
        <v>43</v>
      </c>
      <c r="I28" s="3" t="s">
        <v>32</v>
      </c>
      <c r="J28" s="3">
        <v>93.7</v>
      </c>
      <c r="K28" s="3">
        <v>157.30000000000001</v>
      </c>
      <c r="L28" s="3">
        <v>63.8</v>
      </c>
      <c r="M28" s="3">
        <v>50.6</v>
      </c>
      <c r="N28" s="3">
        <v>1989</v>
      </c>
      <c r="O28" s="3" t="s">
        <v>44</v>
      </c>
      <c r="P28" s="3" t="s">
        <v>34</v>
      </c>
      <c r="Q28" s="3">
        <v>90</v>
      </c>
      <c r="R28" s="3" t="s">
        <v>63</v>
      </c>
      <c r="S28" s="3">
        <v>2.97</v>
      </c>
      <c r="T28" s="3">
        <v>3.23</v>
      </c>
      <c r="U28" s="3">
        <v>9.4</v>
      </c>
      <c r="V28" s="3">
        <v>68</v>
      </c>
      <c r="W28" s="3">
        <v>5500</v>
      </c>
      <c r="X28" s="3">
        <v>31</v>
      </c>
      <c r="Y28" s="3">
        <v>38</v>
      </c>
      <c r="Z28" s="3">
        <v>7609</v>
      </c>
      <c r="AA28">
        <f t="shared" si="0"/>
        <v>6848.1</v>
      </c>
    </row>
    <row r="29" spans="1:27" x14ac:dyDescent="0.35">
      <c r="A29" s="3">
        <v>28</v>
      </c>
      <c r="B29" s="3">
        <v>1</v>
      </c>
      <c r="C29" s="3" t="s">
        <v>72</v>
      </c>
      <c r="D29" s="3" t="s">
        <v>27</v>
      </c>
      <c r="E29" s="3" t="s">
        <v>52</v>
      </c>
      <c r="F29" s="3" t="s">
        <v>29</v>
      </c>
      <c r="G29" s="3" t="s">
        <v>42</v>
      </c>
      <c r="H29" s="3" t="s">
        <v>43</v>
      </c>
      <c r="I29" s="3" t="s">
        <v>32</v>
      </c>
      <c r="J29" s="3">
        <v>93.7</v>
      </c>
      <c r="K29" s="3">
        <v>157.30000000000001</v>
      </c>
      <c r="L29" s="3">
        <v>63.8</v>
      </c>
      <c r="M29" s="3">
        <v>50.6</v>
      </c>
      <c r="N29" s="3">
        <v>2191</v>
      </c>
      <c r="O29" s="3" t="s">
        <v>44</v>
      </c>
      <c r="P29" s="3" t="s">
        <v>34</v>
      </c>
      <c r="Q29" s="3">
        <v>98</v>
      </c>
      <c r="R29" s="3" t="s">
        <v>35</v>
      </c>
      <c r="S29" s="3">
        <v>3.03</v>
      </c>
      <c r="T29" s="3">
        <v>3.39</v>
      </c>
      <c r="U29" s="3">
        <v>7.6</v>
      </c>
      <c r="V29" s="3">
        <v>102</v>
      </c>
      <c r="W29" s="3">
        <v>5500</v>
      </c>
      <c r="X29" s="3">
        <v>24</v>
      </c>
      <c r="Y29" s="3">
        <v>30</v>
      </c>
      <c r="Z29" s="3">
        <v>8558</v>
      </c>
      <c r="AA29">
        <f t="shared" si="0"/>
        <v>7702.2</v>
      </c>
    </row>
    <row r="30" spans="1:27" x14ac:dyDescent="0.35">
      <c r="A30" s="3">
        <v>29</v>
      </c>
      <c r="B30" s="3">
        <v>-1</v>
      </c>
      <c r="C30" s="3" t="s">
        <v>73</v>
      </c>
      <c r="D30" s="3" t="s">
        <v>27</v>
      </c>
      <c r="E30" s="3" t="s">
        <v>28</v>
      </c>
      <c r="F30" s="3" t="s">
        <v>34</v>
      </c>
      <c r="G30" s="3" t="s">
        <v>50</v>
      </c>
      <c r="H30" s="3" t="s">
        <v>43</v>
      </c>
      <c r="I30" s="3" t="s">
        <v>32</v>
      </c>
      <c r="J30" s="3">
        <v>103.3</v>
      </c>
      <c r="K30" s="3">
        <v>174.6</v>
      </c>
      <c r="L30" s="3">
        <v>64.599999999999994</v>
      </c>
      <c r="M30" s="3">
        <v>59.8</v>
      </c>
      <c r="N30" s="3">
        <v>2535</v>
      </c>
      <c r="O30" s="3" t="s">
        <v>44</v>
      </c>
      <c r="P30" s="3" t="s">
        <v>34</v>
      </c>
      <c r="Q30" s="3">
        <v>122</v>
      </c>
      <c r="R30" s="3" t="s">
        <v>63</v>
      </c>
      <c r="S30" s="3">
        <v>3.34</v>
      </c>
      <c r="T30" s="3">
        <v>3.46</v>
      </c>
      <c r="U30" s="3">
        <v>8.5</v>
      </c>
      <c r="V30" s="3">
        <v>88</v>
      </c>
      <c r="W30" s="3">
        <v>5000</v>
      </c>
      <c r="X30" s="3">
        <v>24</v>
      </c>
      <c r="Y30" s="3">
        <v>30</v>
      </c>
      <c r="Z30" s="3">
        <v>8921</v>
      </c>
      <c r="AA30">
        <f t="shared" si="0"/>
        <v>8028.9000000000005</v>
      </c>
    </row>
    <row r="31" spans="1:27" x14ac:dyDescent="0.35">
      <c r="A31" s="3">
        <v>30</v>
      </c>
      <c r="B31" s="3">
        <v>3</v>
      </c>
      <c r="C31" s="3" t="s">
        <v>74</v>
      </c>
      <c r="D31" s="3" t="s">
        <v>27</v>
      </c>
      <c r="E31" s="3" t="s">
        <v>52</v>
      </c>
      <c r="F31" s="3" t="s">
        <v>29</v>
      </c>
      <c r="G31" s="3" t="s">
        <v>38</v>
      </c>
      <c r="H31" s="3" t="s">
        <v>43</v>
      </c>
      <c r="I31" s="3" t="s">
        <v>32</v>
      </c>
      <c r="J31" s="3">
        <v>95.9</v>
      </c>
      <c r="K31" s="3">
        <v>173.2</v>
      </c>
      <c r="L31" s="3">
        <v>66.3</v>
      </c>
      <c r="M31" s="3">
        <v>50.2</v>
      </c>
      <c r="N31" s="3">
        <v>2811</v>
      </c>
      <c r="O31" s="3" t="s">
        <v>44</v>
      </c>
      <c r="P31" s="3" t="s">
        <v>34</v>
      </c>
      <c r="Q31" s="3">
        <v>156</v>
      </c>
      <c r="R31" s="3" t="s">
        <v>75</v>
      </c>
      <c r="S31" s="3">
        <v>3.6</v>
      </c>
      <c r="T31" s="3">
        <v>3.9</v>
      </c>
      <c r="U31" s="3">
        <v>7</v>
      </c>
      <c r="V31" s="3">
        <v>145</v>
      </c>
      <c r="W31" s="3">
        <v>5000</v>
      </c>
      <c r="X31" s="3">
        <v>19</v>
      </c>
      <c r="Y31" s="3">
        <v>24</v>
      </c>
      <c r="Z31" s="3">
        <v>12964</v>
      </c>
      <c r="AA31">
        <f t="shared" si="0"/>
        <v>11667.6</v>
      </c>
    </row>
    <row r="32" spans="1:27" x14ac:dyDescent="0.35">
      <c r="A32" s="3">
        <v>31</v>
      </c>
      <c r="B32" s="3">
        <v>2</v>
      </c>
      <c r="C32" s="3" t="s">
        <v>76</v>
      </c>
      <c r="D32" s="3" t="s">
        <v>27</v>
      </c>
      <c r="E32" s="3" t="s">
        <v>28</v>
      </c>
      <c r="F32" s="3" t="s">
        <v>29</v>
      </c>
      <c r="G32" s="3" t="s">
        <v>38</v>
      </c>
      <c r="H32" s="3" t="s">
        <v>43</v>
      </c>
      <c r="I32" s="3" t="s">
        <v>32</v>
      </c>
      <c r="J32" s="3">
        <v>86.6</v>
      </c>
      <c r="K32" s="3">
        <v>144.6</v>
      </c>
      <c r="L32" s="3">
        <v>63.9</v>
      </c>
      <c r="M32" s="3">
        <v>50.8</v>
      </c>
      <c r="N32" s="3">
        <v>1713</v>
      </c>
      <c r="O32" s="3" t="s">
        <v>44</v>
      </c>
      <c r="P32" s="3" t="s">
        <v>34</v>
      </c>
      <c r="Q32" s="3">
        <v>92</v>
      </c>
      <c r="R32" s="3" t="s">
        <v>77</v>
      </c>
      <c r="S32" s="3">
        <v>2.91</v>
      </c>
      <c r="T32" s="3">
        <v>3.41</v>
      </c>
      <c r="U32" s="3">
        <v>9.6</v>
      </c>
      <c r="V32" s="3">
        <v>58</v>
      </c>
      <c r="W32" s="3">
        <v>4800</v>
      </c>
      <c r="X32" s="3">
        <v>49</v>
      </c>
      <c r="Y32" s="3">
        <v>54</v>
      </c>
      <c r="Z32" s="3">
        <v>6479</v>
      </c>
      <c r="AA32">
        <f t="shared" si="0"/>
        <v>5831.1</v>
      </c>
    </row>
    <row r="33" spans="1:27" x14ac:dyDescent="0.35">
      <c r="A33" s="3">
        <v>32</v>
      </c>
      <c r="B33" s="3">
        <v>2</v>
      </c>
      <c r="C33" s="3" t="s">
        <v>78</v>
      </c>
      <c r="D33" s="3" t="s">
        <v>27</v>
      </c>
      <c r="E33" s="3" t="s">
        <v>28</v>
      </c>
      <c r="F33" s="3" t="s">
        <v>29</v>
      </c>
      <c r="G33" s="3" t="s">
        <v>38</v>
      </c>
      <c r="H33" s="3" t="s">
        <v>43</v>
      </c>
      <c r="I33" s="3" t="s">
        <v>32</v>
      </c>
      <c r="J33" s="3">
        <v>86.6</v>
      </c>
      <c r="K33" s="3">
        <v>144.6</v>
      </c>
      <c r="L33" s="3">
        <v>63.9</v>
      </c>
      <c r="M33" s="3">
        <v>50.8</v>
      </c>
      <c r="N33" s="3">
        <v>1819</v>
      </c>
      <c r="O33" s="3" t="s">
        <v>44</v>
      </c>
      <c r="P33" s="3" t="s">
        <v>34</v>
      </c>
      <c r="Q33" s="3">
        <v>92</v>
      </c>
      <c r="R33" s="3" t="s">
        <v>77</v>
      </c>
      <c r="S33" s="3">
        <v>2.91</v>
      </c>
      <c r="T33" s="3">
        <v>3.41</v>
      </c>
      <c r="U33" s="3">
        <v>9.1999999999999993</v>
      </c>
      <c r="V33" s="3">
        <v>76</v>
      </c>
      <c r="W33" s="3">
        <v>6000</v>
      </c>
      <c r="X33" s="3">
        <v>31</v>
      </c>
      <c r="Y33" s="3">
        <v>38</v>
      </c>
      <c r="Z33" s="3">
        <v>6855</v>
      </c>
      <c r="AA33">
        <f t="shared" si="0"/>
        <v>6169.5</v>
      </c>
    </row>
    <row r="34" spans="1:27" x14ac:dyDescent="0.35">
      <c r="A34" s="3">
        <v>33</v>
      </c>
      <c r="B34" s="3">
        <v>1</v>
      </c>
      <c r="C34" s="3" t="s">
        <v>76</v>
      </c>
      <c r="D34" s="3" t="s">
        <v>27</v>
      </c>
      <c r="E34" s="3" t="s">
        <v>28</v>
      </c>
      <c r="F34" s="3" t="s">
        <v>29</v>
      </c>
      <c r="G34" s="3" t="s">
        <v>38</v>
      </c>
      <c r="H34" s="3" t="s">
        <v>43</v>
      </c>
      <c r="I34" s="3" t="s">
        <v>32</v>
      </c>
      <c r="J34" s="3">
        <v>93.7</v>
      </c>
      <c r="K34" s="3">
        <v>150</v>
      </c>
      <c r="L34" s="3">
        <v>64</v>
      </c>
      <c r="M34" s="3">
        <v>52.6</v>
      </c>
      <c r="N34" s="3">
        <v>1837</v>
      </c>
      <c r="O34" s="3" t="s">
        <v>44</v>
      </c>
      <c r="P34" s="3" t="s">
        <v>34</v>
      </c>
      <c r="Q34" s="3">
        <v>79</v>
      </c>
      <c r="R34" s="3" t="s">
        <v>77</v>
      </c>
      <c r="S34" s="3">
        <v>2.91</v>
      </c>
      <c r="T34" s="3">
        <v>3.07</v>
      </c>
      <c r="U34" s="3">
        <v>10.1</v>
      </c>
      <c r="V34" s="3">
        <v>60</v>
      </c>
      <c r="W34" s="3">
        <v>5500</v>
      </c>
      <c r="X34" s="3">
        <v>38</v>
      </c>
      <c r="Y34" s="3">
        <v>42</v>
      </c>
      <c r="Z34" s="3">
        <v>5399</v>
      </c>
      <c r="AA34">
        <f t="shared" si="0"/>
        <v>4859.1000000000004</v>
      </c>
    </row>
    <row r="35" spans="1:27" x14ac:dyDescent="0.35">
      <c r="A35" s="3">
        <v>34</v>
      </c>
      <c r="B35" s="3">
        <v>1</v>
      </c>
      <c r="C35" s="3" t="s">
        <v>79</v>
      </c>
      <c r="D35" s="3" t="s">
        <v>27</v>
      </c>
      <c r="E35" s="3" t="s">
        <v>28</v>
      </c>
      <c r="F35" s="3" t="s">
        <v>29</v>
      </c>
      <c r="G35" s="3" t="s">
        <v>38</v>
      </c>
      <c r="H35" s="3" t="s">
        <v>43</v>
      </c>
      <c r="I35" s="3" t="s">
        <v>32</v>
      </c>
      <c r="J35" s="3">
        <v>93.7</v>
      </c>
      <c r="K35" s="3">
        <v>150</v>
      </c>
      <c r="L35" s="3">
        <v>64</v>
      </c>
      <c r="M35" s="3">
        <v>52.6</v>
      </c>
      <c r="N35" s="3">
        <v>1940</v>
      </c>
      <c r="O35" s="3" t="s">
        <v>44</v>
      </c>
      <c r="P35" s="3" t="s">
        <v>34</v>
      </c>
      <c r="Q35" s="3">
        <v>92</v>
      </c>
      <c r="R35" s="3" t="s">
        <v>77</v>
      </c>
      <c r="S35" s="3">
        <v>2.91</v>
      </c>
      <c r="T35" s="3">
        <v>3.41</v>
      </c>
      <c r="U35" s="3">
        <v>9.1999999999999993</v>
      </c>
      <c r="V35" s="3">
        <v>76</v>
      </c>
      <c r="W35" s="3">
        <v>6000</v>
      </c>
      <c r="X35" s="3">
        <v>30</v>
      </c>
      <c r="Y35" s="3">
        <v>34</v>
      </c>
      <c r="Z35" s="3">
        <v>6529</v>
      </c>
      <c r="AA35">
        <f t="shared" si="0"/>
        <v>5876.1</v>
      </c>
    </row>
    <row r="36" spans="1:27" x14ac:dyDescent="0.35">
      <c r="A36" s="3">
        <v>35</v>
      </c>
      <c r="B36" s="3">
        <v>1</v>
      </c>
      <c r="C36" s="3" t="s">
        <v>78</v>
      </c>
      <c r="D36" s="3" t="s">
        <v>27</v>
      </c>
      <c r="E36" s="3" t="s">
        <v>28</v>
      </c>
      <c r="F36" s="3" t="s">
        <v>29</v>
      </c>
      <c r="G36" s="3" t="s">
        <v>38</v>
      </c>
      <c r="H36" s="3" t="s">
        <v>43</v>
      </c>
      <c r="I36" s="3" t="s">
        <v>32</v>
      </c>
      <c r="J36" s="3">
        <v>93.7</v>
      </c>
      <c r="K36" s="3">
        <v>150</v>
      </c>
      <c r="L36" s="3">
        <v>64</v>
      </c>
      <c r="M36" s="3">
        <v>52.6</v>
      </c>
      <c r="N36" s="3">
        <v>1956</v>
      </c>
      <c r="O36" s="3" t="s">
        <v>44</v>
      </c>
      <c r="P36" s="3" t="s">
        <v>34</v>
      </c>
      <c r="Q36" s="3">
        <v>92</v>
      </c>
      <c r="R36" s="3" t="s">
        <v>77</v>
      </c>
      <c r="S36" s="3">
        <v>2.91</v>
      </c>
      <c r="T36" s="3">
        <v>3.41</v>
      </c>
      <c r="U36" s="3">
        <v>9.1999999999999993</v>
      </c>
      <c r="V36" s="3">
        <v>76</v>
      </c>
      <c r="W36" s="3">
        <v>6000</v>
      </c>
      <c r="X36" s="3">
        <v>30</v>
      </c>
      <c r="Y36" s="3">
        <v>34</v>
      </c>
      <c r="Z36" s="3">
        <v>7129</v>
      </c>
      <c r="AA36">
        <f t="shared" si="0"/>
        <v>6416.1</v>
      </c>
    </row>
    <row r="37" spans="1:27" x14ac:dyDescent="0.35">
      <c r="A37" s="3">
        <v>36</v>
      </c>
      <c r="B37" s="3">
        <v>0</v>
      </c>
      <c r="C37" s="3" t="s">
        <v>80</v>
      </c>
      <c r="D37" s="3" t="s">
        <v>27</v>
      </c>
      <c r="E37" s="3" t="s">
        <v>28</v>
      </c>
      <c r="F37" s="3" t="s">
        <v>34</v>
      </c>
      <c r="G37" s="3" t="s">
        <v>42</v>
      </c>
      <c r="H37" s="3" t="s">
        <v>43</v>
      </c>
      <c r="I37" s="3" t="s">
        <v>32</v>
      </c>
      <c r="J37" s="3">
        <v>96.5</v>
      </c>
      <c r="K37" s="3">
        <v>163.4</v>
      </c>
      <c r="L37" s="3">
        <v>64</v>
      </c>
      <c r="M37" s="3">
        <v>54.5</v>
      </c>
      <c r="N37" s="3">
        <v>2010</v>
      </c>
      <c r="O37" s="3" t="s">
        <v>44</v>
      </c>
      <c r="P37" s="3" t="s">
        <v>34</v>
      </c>
      <c r="Q37" s="3">
        <v>92</v>
      </c>
      <c r="R37" s="3" t="s">
        <v>77</v>
      </c>
      <c r="S37" s="3">
        <v>2.91</v>
      </c>
      <c r="T37" s="3">
        <v>3.41</v>
      </c>
      <c r="U37" s="3">
        <v>9.1999999999999993</v>
      </c>
      <c r="V37" s="3">
        <v>76</v>
      </c>
      <c r="W37" s="3">
        <v>6000</v>
      </c>
      <c r="X37" s="3">
        <v>30</v>
      </c>
      <c r="Y37" s="3">
        <v>34</v>
      </c>
      <c r="Z37" s="3">
        <v>7295</v>
      </c>
      <c r="AA37">
        <f t="shared" si="0"/>
        <v>6565.5</v>
      </c>
    </row>
    <row r="38" spans="1:27" x14ac:dyDescent="0.35">
      <c r="A38" s="3">
        <v>37</v>
      </c>
      <c r="B38" s="3">
        <v>0</v>
      </c>
      <c r="C38" s="3" t="s">
        <v>81</v>
      </c>
      <c r="D38" s="3" t="s">
        <v>27</v>
      </c>
      <c r="E38" s="3" t="s">
        <v>28</v>
      </c>
      <c r="F38" s="3" t="s">
        <v>34</v>
      </c>
      <c r="G38" s="3" t="s">
        <v>50</v>
      </c>
      <c r="H38" s="3" t="s">
        <v>43</v>
      </c>
      <c r="I38" s="3" t="s">
        <v>32</v>
      </c>
      <c r="J38" s="3">
        <v>96.5</v>
      </c>
      <c r="K38" s="3">
        <v>157.1</v>
      </c>
      <c r="L38" s="3">
        <v>63.9</v>
      </c>
      <c r="M38" s="3">
        <v>58.3</v>
      </c>
      <c r="N38" s="3">
        <v>2024</v>
      </c>
      <c r="O38" s="3" t="s">
        <v>44</v>
      </c>
      <c r="P38" s="3" t="s">
        <v>34</v>
      </c>
      <c r="Q38" s="3">
        <v>92</v>
      </c>
      <c r="R38" s="3" t="s">
        <v>77</v>
      </c>
      <c r="S38" s="3">
        <v>2.92</v>
      </c>
      <c r="T38" s="3">
        <v>3.41</v>
      </c>
      <c r="U38" s="3">
        <v>9.1999999999999993</v>
      </c>
      <c r="V38" s="3">
        <v>76</v>
      </c>
      <c r="W38" s="3">
        <v>6000</v>
      </c>
      <c r="X38" s="3">
        <v>30</v>
      </c>
      <c r="Y38" s="3">
        <v>34</v>
      </c>
      <c r="Z38" s="3">
        <v>7295</v>
      </c>
      <c r="AA38">
        <f t="shared" si="0"/>
        <v>6565.5</v>
      </c>
    </row>
    <row r="39" spans="1:27" x14ac:dyDescent="0.35">
      <c r="A39" s="3">
        <v>38</v>
      </c>
      <c r="B39" s="3">
        <v>0</v>
      </c>
      <c r="C39" s="3" t="s">
        <v>82</v>
      </c>
      <c r="D39" s="3" t="s">
        <v>27</v>
      </c>
      <c r="E39" s="3" t="s">
        <v>28</v>
      </c>
      <c r="F39" s="3" t="s">
        <v>29</v>
      </c>
      <c r="G39" s="3" t="s">
        <v>38</v>
      </c>
      <c r="H39" s="3" t="s">
        <v>43</v>
      </c>
      <c r="I39" s="3" t="s">
        <v>32</v>
      </c>
      <c r="J39" s="3">
        <v>96.5</v>
      </c>
      <c r="K39" s="3">
        <v>167.5</v>
      </c>
      <c r="L39" s="3">
        <v>65.2</v>
      </c>
      <c r="M39" s="3">
        <v>53.3</v>
      </c>
      <c r="N39" s="3">
        <v>2236</v>
      </c>
      <c r="O39" s="3" t="s">
        <v>44</v>
      </c>
      <c r="P39" s="3" t="s">
        <v>34</v>
      </c>
      <c r="Q39" s="3">
        <v>110</v>
      </c>
      <c r="R39" s="3" t="s">
        <v>77</v>
      </c>
      <c r="S39" s="3">
        <v>3.15</v>
      </c>
      <c r="T39" s="3">
        <v>3.58</v>
      </c>
      <c r="U39" s="3">
        <v>9</v>
      </c>
      <c r="V39" s="3">
        <v>86</v>
      </c>
      <c r="W39" s="3">
        <v>5800</v>
      </c>
      <c r="X39" s="3">
        <v>27</v>
      </c>
      <c r="Y39" s="3">
        <v>33</v>
      </c>
      <c r="Z39" s="3">
        <v>7895</v>
      </c>
      <c r="AA39">
        <f t="shared" si="0"/>
        <v>7105.5</v>
      </c>
    </row>
    <row r="40" spans="1:27" x14ac:dyDescent="0.35">
      <c r="A40" s="3">
        <v>39</v>
      </c>
      <c r="B40" s="3">
        <v>0</v>
      </c>
      <c r="C40" s="3" t="s">
        <v>83</v>
      </c>
      <c r="D40" s="3" t="s">
        <v>27</v>
      </c>
      <c r="E40" s="3" t="s">
        <v>28</v>
      </c>
      <c r="F40" s="3" t="s">
        <v>29</v>
      </c>
      <c r="G40" s="3" t="s">
        <v>38</v>
      </c>
      <c r="H40" s="3" t="s">
        <v>43</v>
      </c>
      <c r="I40" s="3" t="s">
        <v>32</v>
      </c>
      <c r="J40" s="3">
        <v>96.5</v>
      </c>
      <c r="K40" s="3">
        <v>167.5</v>
      </c>
      <c r="L40" s="3">
        <v>65.2</v>
      </c>
      <c r="M40" s="3">
        <v>53.3</v>
      </c>
      <c r="N40" s="3">
        <v>2289</v>
      </c>
      <c r="O40" s="3" t="s">
        <v>44</v>
      </c>
      <c r="P40" s="3" t="s">
        <v>34</v>
      </c>
      <c r="Q40" s="3">
        <v>110</v>
      </c>
      <c r="R40" s="3" t="s">
        <v>77</v>
      </c>
      <c r="S40" s="3">
        <v>3.15</v>
      </c>
      <c r="T40" s="3">
        <v>3.58</v>
      </c>
      <c r="U40" s="3">
        <v>9</v>
      </c>
      <c r="V40" s="3">
        <v>86</v>
      </c>
      <c r="W40" s="3">
        <v>5800</v>
      </c>
      <c r="X40" s="3">
        <v>27</v>
      </c>
      <c r="Y40" s="3">
        <v>33</v>
      </c>
      <c r="Z40" s="3">
        <v>9095</v>
      </c>
      <c r="AA40">
        <f t="shared" si="0"/>
        <v>8185.5</v>
      </c>
    </row>
    <row r="41" spans="1:27" x14ac:dyDescent="0.35">
      <c r="A41" s="3">
        <v>40</v>
      </c>
      <c r="B41" s="3">
        <v>0</v>
      </c>
      <c r="C41" s="3" t="s">
        <v>84</v>
      </c>
      <c r="D41" s="3" t="s">
        <v>27</v>
      </c>
      <c r="E41" s="3" t="s">
        <v>28</v>
      </c>
      <c r="F41" s="3" t="s">
        <v>34</v>
      </c>
      <c r="G41" s="3" t="s">
        <v>42</v>
      </c>
      <c r="H41" s="3" t="s">
        <v>43</v>
      </c>
      <c r="I41" s="3" t="s">
        <v>32</v>
      </c>
      <c r="J41" s="3">
        <v>96.5</v>
      </c>
      <c r="K41" s="3">
        <v>175.4</v>
      </c>
      <c r="L41" s="3">
        <v>65.2</v>
      </c>
      <c r="M41" s="3">
        <v>54.1</v>
      </c>
      <c r="N41" s="3">
        <v>2304</v>
      </c>
      <c r="O41" s="3" t="s">
        <v>44</v>
      </c>
      <c r="P41" s="3" t="s">
        <v>34</v>
      </c>
      <c r="Q41" s="3">
        <v>110</v>
      </c>
      <c r="R41" s="3" t="s">
        <v>77</v>
      </c>
      <c r="S41" s="3">
        <v>3.15</v>
      </c>
      <c r="T41" s="3">
        <v>3.58</v>
      </c>
      <c r="U41" s="3">
        <v>9</v>
      </c>
      <c r="V41" s="3">
        <v>86</v>
      </c>
      <c r="W41" s="3">
        <v>5800</v>
      </c>
      <c r="X41" s="3">
        <v>27</v>
      </c>
      <c r="Y41" s="3">
        <v>33</v>
      </c>
      <c r="Z41" s="3">
        <v>8845</v>
      </c>
      <c r="AA41">
        <f t="shared" si="0"/>
        <v>7960.5</v>
      </c>
    </row>
    <row r="42" spans="1:27" x14ac:dyDescent="0.35">
      <c r="A42" s="3">
        <v>41</v>
      </c>
      <c r="B42" s="3">
        <v>0</v>
      </c>
      <c r="C42" s="3" t="s">
        <v>82</v>
      </c>
      <c r="D42" s="3" t="s">
        <v>27</v>
      </c>
      <c r="E42" s="3" t="s">
        <v>28</v>
      </c>
      <c r="F42" s="3" t="s">
        <v>34</v>
      </c>
      <c r="G42" s="3" t="s">
        <v>42</v>
      </c>
      <c r="H42" s="3" t="s">
        <v>43</v>
      </c>
      <c r="I42" s="3" t="s">
        <v>32</v>
      </c>
      <c r="J42" s="3">
        <v>96.5</v>
      </c>
      <c r="K42" s="3">
        <v>175.4</v>
      </c>
      <c r="L42" s="3">
        <v>62.5</v>
      </c>
      <c r="M42" s="3">
        <v>54.1</v>
      </c>
      <c r="N42" s="3">
        <v>2372</v>
      </c>
      <c r="O42" s="3" t="s">
        <v>44</v>
      </c>
      <c r="P42" s="3" t="s">
        <v>34</v>
      </c>
      <c r="Q42" s="3">
        <v>110</v>
      </c>
      <c r="R42" s="3" t="s">
        <v>77</v>
      </c>
      <c r="S42" s="3">
        <v>3.15</v>
      </c>
      <c r="T42" s="3">
        <v>3.58</v>
      </c>
      <c r="U42" s="3">
        <v>9</v>
      </c>
      <c r="V42" s="3">
        <v>86</v>
      </c>
      <c r="W42" s="3">
        <v>5800</v>
      </c>
      <c r="X42" s="3">
        <v>27</v>
      </c>
      <c r="Y42" s="3">
        <v>33</v>
      </c>
      <c r="Z42" s="3">
        <v>10295</v>
      </c>
      <c r="AA42">
        <f t="shared" si="0"/>
        <v>9265.5</v>
      </c>
    </row>
    <row r="43" spans="1:27" x14ac:dyDescent="0.35">
      <c r="A43" s="3">
        <v>42</v>
      </c>
      <c r="B43" s="3">
        <v>0</v>
      </c>
      <c r="C43" s="3" t="s">
        <v>76</v>
      </c>
      <c r="D43" s="3" t="s">
        <v>27</v>
      </c>
      <c r="E43" s="3" t="s">
        <v>28</v>
      </c>
      <c r="F43" s="3" t="s">
        <v>34</v>
      </c>
      <c r="G43" s="3" t="s">
        <v>42</v>
      </c>
      <c r="H43" s="3" t="s">
        <v>43</v>
      </c>
      <c r="I43" s="3" t="s">
        <v>32</v>
      </c>
      <c r="J43" s="3">
        <v>96.5</v>
      </c>
      <c r="K43" s="3">
        <v>175.4</v>
      </c>
      <c r="L43" s="3">
        <v>65.2</v>
      </c>
      <c r="M43" s="3">
        <v>54.1</v>
      </c>
      <c r="N43" s="3">
        <v>2465</v>
      </c>
      <c r="O43" s="3" t="s">
        <v>44</v>
      </c>
      <c r="P43" s="3" t="s">
        <v>34</v>
      </c>
      <c r="Q43" s="3">
        <v>110</v>
      </c>
      <c r="R43" s="3" t="s">
        <v>35</v>
      </c>
      <c r="S43" s="3">
        <v>3.15</v>
      </c>
      <c r="T43" s="3">
        <v>3.58</v>
      </c>
      <c r="U43" s="3">
        <v>9</v>
      </c>
      <c r="V43" s="3">
        <v>101</v>
      </c>
      <c r="W43" s="3">
        <v>5800</v>
      </c>
      <c r="X43" s="3">
        <v>24</v>
      </c>
      <c r="Y43" s="3">
        <v>28</v>
      </c>
      <c r="Z43" s="3">
        <v>12945</v>
      </c>
      <c r="AA43">
        <f t="shared" si="0"/>
        <v>11650.5</v>
      </c>
    </row>
    <row r="44" spans="1:27" x14ac:dyDescent="0.35">
      <c r="A44" s="3">
        <v>43</v>
      </c>
      <c r="B44" s="3">
        <v>1</v>
      </c>
      <c r="C44" s="3" t="s">
        <v>85</v>
      </c>
      <c r="D44" s="3" t="s">
        <v>27</v>
      </c>
      <c r="E44" s="3" t="s">
        <v>28</v>
      </c>
      <c r="F44" s="3" t="s">
        <v>29</v>
      </c>
      <c r="G44" s="3" t="s">
        <v>42</v>
      </c>
      <c r="H44" s="3" t="s">
        <v>43</v>
      </c>
      <c r="I44" s="3" t="s">
        <v>32</v>
      </c>
      <c r="J44" s="3">
        <v>96.5</v>
      </c>
      <c r="K44" s="3">
        <v>169.1</v>
      </c>
      <c r="L44" s="3">
        <v>66</v>
      </c>
      <c r="M44" s="3">
        <v>51</v>
      </c>
      <c r="N44" s="3">
        <v>2293</v>
      </c>
      <c r="O44" s="3" t="s">
        <v>44</v>
      </c>
      <c r="P44" s="3" t="s">
        <v>34</v>
      </c>
      <c r="Q44" s="3">
        <v>110</v>
      </c>
      <c r="R44" s="3" t="s">
        <v>63</v>
      </c>
      <c r="S44" s="3">
        <v>3.15</v>
      </c>
      <c r="T44" s="3">
        <v>3.58</v>
      </c>
      <c r="U44" s="3">
        <v>9.1</v>
      </c>
      <c r="V44" s="3">
        <v>100</v>
      </c>
      <c r="W44" s="3">
        <v>5500</v>
      </c>
      <c r="X44" s="3">
        <v>25</v>
      </c>
      <c r="Y44" s="3">
        <v>31</v>
      </c>
      <c r="Z44" s="3">
        <v>10345</v>
      </c>
      <c r="AA44">
        <f t="shared" si="0"/>
        <v>9310.5</v>
      </c>
    </row>
    <row r="45" spans="1:27" x14ac:dyDescent="0.35">
      <c r="A45" s="3">
        <v>44</v>
      </c>
      <c r="B45" s="3">
        <v>0</v>
      </c>
      <c r="C45" s="3" t="s">
        <v>86</v>
      </c>
      <c r="D45" s="3" t="s">
        <v>27</v>
      </c>
      <c r="E45" s="3" t="s">
        <v>28</v>
      </c>
      <c r="F45" s="3" t="s">
        <v>34</v>
      </c>
      <c r="G45" s="3" t="s">
        <v>42</v>
      </c>
      <c r="H45" s="3" t="s">
        <v>31</v>
      </c>
      <c r="I45" s="3" t="s">
        <v>32</v>
      </c>
      <c r="J45" s="3">
        <v>94.3</v>
      </c>
      <c r="K45" s="3">
        <v>170.7</v>
      </c>
      <c r="L45" s="3">
        <v>61.8</v>
      </c>
      <c r="M45" s="3">
        <v>53.5</v>
      </c>
      <c r="N45" s="3">
        <v>2337</v>
      </c>
      <c r="O45" s="3" t="s">
        <v>44</v>
      </c>
      <c r="P45" s="3" t="s">
        <v>34</v>
      </c>
      <c r="Q45" s="3">
        <v>111</v>
      </c>
      <c r="R45" s="3" t="s">
        <v>63</v>
      </c>
      <c r="S45" s="3">
        <v>3.31</v>
      </c>
      <c r="T45" s="3">
        <v>3.23</v>
      </c>
      <c r="U45" s="3">
        <v>8.5</v>
      </c>
      <c r="V45" s="3">
        <v>78</v>
      </c>
      <c r="W45" s="3">
        <v>4800</v>
      </c>
      <c r="X45" s="3">
        <v>24</v>
      </c>
      <c r="Y45" s="3">
        <v>29</v>
      </c>
      <c r="Z45" s="3">
        <v>6785</v>
      </c>
      <c r="AA45">
        <f t="shared" si="0"/>
        <v>6106.5</v>
      </c>
    </row>
    <row r="46" spans="1:27" x14ac:dyDescent="0.35">
      <c r="A46" s="3">
        <v>45</v>
      </c>
      <c r="B46" s="3">
        <v>1</v>
      </c>
      <c r="C46" s="3" t="s">
        <v>87</v>
      </c>
      <c r="D46" s="3" t="s">
        <v>27</v>
      </c>
      <c r="E46" s="3" t="s">
        <v>28</v>
      </c>
      <c r="F46" s="3" t="s">
        <v>29</v>
      </c>
      <c r="G46" s="3" t="s">
        <v>42</v>
      </c>
      <c r="H46" s="3" t="s">
        <v>43</v>
      </c>
      <c r="I46" s="3" t="s">
        <v>32</v>
      </c>
      <c r="J46" s="3">
        <v>94.5</v>
      </c>
      <c r="K46" s="3">
        <v>155.9</v>
      </c>
      <c r="L46" s="3">
        <v>63.6</v>
      </c>
      <c r="M46" s="3">
        <v>52</v>
      </c>
      <c r="N46" s="3">
        <v>1874</v>
      </c>
      <c r="O46" s="3" t="s">
        <v>44</v>
      </c>
      <c r="P46" s="3" t="s">
        <v>34</v>
      </c>
      <c r="Q46" s="3">
        <v>90</v>
      </c>
      <c r="R46" s="3" t="s">
        <v>63</v>
      </c>
      <c r="S46" s="3">
        <v>3.03</v>
      </c>
      <c r="T46" s="3">
        <v>3.11</v>
      </c>
      <c r="U46" s="3">
        <v>9.6</v>
      </c>
      <c r="V46" s="3">
        <v>70</v>
      </c>
      <c r="W46" s="3">
        <v>5400</v>
      </c>
      <c r="X46" s="3">
        <v>38</v>
      </c>
      <c r="Y46" s="3">
        <v>43</v>
      </c>
      <c r="Z46" s="3">
        <v>8916.5</v>
      </c>
      <c r="AA46">
        <f t="shared" si="0"/>
        <v>8024.85</v>
      </c>
    </row>
    <row r="47" spans="1:27" x14ac:dyDescent="0.35">
      <c r="A47" s="3">
        <v>46</v>
      </c>
      <c r="B47" s="3">
        <v>0</v>
      </c>
      <c r="C47" s="3" t="s">
        <v>88</v>
      </c>
      <c r="D47" s="3" t="s">
        <v>27</v>
      </c>
      <c r="E47" s="3" t="s">
        <v>28</v>
      </c>
      <c r="F47" s="3" t="s">
        <v>34</v>
      </c>
      <c r="G47" s="3" t="s">
        <v>42</v>
      </c>
      <c r="H47" s="3" t="s">
        <v>43</v>
      </c>
      <c r="I47" s="3" t="s">
        <v>32</v>
      </c>
      <c r="J47" s="3">
        <v>94.5</v>
      </c>
      <c r="K47" s="3">
        <v>155.9</v>
      </c>
      <c r="L47" s="3">
        <v>63.6</v>
      </c>
      <c r="M47" s="3">
        <v>52</v>
      </c>
      <c r="N47" s="3">
        <v>1909</v>
      </c>
      <c r="O47" s="3" t="s">
        <v>44</v>
      </c>
      <c r="P47" s="3" t="s">
        <v>34</v>
      </c>
      <c r="Q47" s="3">
        <v>90</v>
      </c>
      <c r="R47" s="3" t="s">
        <v>63</v>
      </c>
      <c r="S47" s="3">
        <v>3.03</v>
      </c>
      <c r="T47" s="3">
        <v>3.11</v>
      </c>
      <c r="U47" s="3">
        <v>9.6</v>
      </c>
      <c r="V47" s="3">
        <v>70</v>
      </c>
      <c r="W47" s="3">
        <v>5400</v>
      </c>
      <c r="X47" s="3">
        <v>38</v>
      </c>
      <c r="Y47" s="3">
        <v>43</v>
      </c>
      <c r="Z47" s="3">
        <v>8916.5</v>
      </c>
      <c r="AA47">
        <f t="shared" si="0"/>
        <v>8024.85</v>
      </c>
    </row>
    <row r="48" spans="1:27" x14ac:dyDescent="0.35">
      <c r="A48" s="3">
        <v>47</v>
      </c>
      <c r="B48" s="3">
        <v>2</v>
      </c>
      <c r="C48" s="3" t="s">
        <v>87</v>
      </c>
      <c r="D48" s="3" t="s">
        <v>27</v>
      </c>
      <c r="E48" s="3" t="s">
        <v>28</v>
      </c>
      <c r="F48" s="3" t="s">
        <v>29</v>
      </c>
      <c r="G48" s="3" t="s">
        <v>38</v>
      </c>
      <c r="H48" s="3" t="s">
        <v>31</v>
      </c>
      <c r="I48" s="3" t="s">
        <v>32</v>
      </c>
      <c r="J48" s="3">
        <v>96</v>
      </c>
      <c r="K48" s="3">
        <v>172.6</v>
      </c>
      <c r="L48" s="3">
        <v>65.2</v>
      </c>
      <c r="M48" s="3">
        <v>51.4</v>
      </c>
      <c r="N48" s="3">
        <v>2734</v>
      </c>
      <c r="O48" s="3" t="s">
        <v>44</v>
      </c>
      <c r="P48" s="3" t="s">
        <v>34</v>
      </c>
      <c r="Q48" s="3">
        <v>119</v>
      </c>
      <c r="R48" s="3" t="s">
        <v>89</v>
      </c>
      <c r="S48" s="3">
        <v>3.43</v>
      </c>
      <c r="T48" s="3">
        <v>3.23</v>
      </c>
      <c r="U48" s="3">
        <v>9.1999999999999993</v>
      </c>
      <c r="V48" s="3">
        <v>90</v>
      </c>
      <c r="W48" s="3">
        <v>5000</v>
      </c>
      <c r="X48" s="3">
        <v>24</v>
      </c>
      <c r="Y48" s="3">
        <v>29</v>
      </c>
      <c r="Z48" s="3">
        <v>11048</v>
      </c>
      <c r="AA48">
        <f t="shared" si="0"/>
        <v>9943.2000000000007</v>
      </c>
    </row>
    <row r="49" spans="1:27" x14ac:dyDescent="0.35">
      <c r="A49" s="3">
        <v>48</v>
      </c>
      <c r="B49" s="3">
        <v>0</v>
      </c>
      <c r="C49" s="3" t="s">
        <v>90</v>
      </c>
      <c r="D49" s="3" t="s">
        <v>27</v>
      </c>
      <c r="E49" s="3" t="s">
        <v>28</v>
      </c>
      <c r="F49" s="3" t="s">
        <v>34</v>
      </c>
      <c r="G49" s="3" t="s">
        <v>42</v>
      </c>
      <c r="H49" s="3" t="s">
        <v>31</v>
      </c>
      <c r="I49" s="3" t="s">
        <v>32</v>
      </c>
      <c r="J49" s="3">
        <v>113</v>
      </c>
      <c r="K49" s="3">
        <v>199.6</v>
      </c>
      <c r="L49" s="3">
        <v>69.599999999999994</v>
      </c>
      <c r="M49" s="3">
        <v>52.8</v>
      </c>
      <c r="N49" s="3">
        <v>4066</v>
      </c>
      <c r="O49" s="3" t="s">
        <v>33</v>
      </c>
      <c r="P49" s="3" t="s">
        <v>40</v>
      </c>
      <c r="Q49" s="3">
        <v>258</v>
      </c>
      <c r="R49" s="3" t="s">
        <v>35</v>
      </c>
      <c r="S49" s="3">
        <v>3.63</v>
      </c>
      <c r="T49" s="3">
        <v>4.17</v>
      </c>
      <c r="U49" s="3">
        <v>8.1</v>
      </c>
      <c r="V49" s="3">
        <v>176</v>
      </c>
      <c r="W49" s="3">
        <v>4750</v>
      </c>
      <c r="X49" s="3">
        <v>15</v>
      </c>
      <c r="Y49" s="3">
        <v>19</v>
      </c>
      <c r="Z49" s="3">
        <v>32250</v>
      </c>
      <c r="AA49">
        <f t="shared" si="0"/>
        <v>29025</v>
      </c>
    </row>
    <row r="50" spans="1:27" x14ac:dyDescent="0.35">
      <c r="A50" s="3">
        <v>49</v>
      </c>
      <c r="B50" s="3">
        <v>0</v>
      </c>
      <c r="C50" s="3" t="s">
        <v>91</v>
      </c>
      <c r="D50" s="3" t="s">
        <v>27</v>
      </c>
      <c r="E50" s="3" t="s">
        <v>28</v>
      </c>
      <c r="F50" s="3" t="s">
        <v>34</v>
      </c>
      <c r="G50" s="3" t="s">
        <v>42</v>
      </c>
      <c r="H50" s="3" t="s">
        <v>31</v>
      </c>
      <c r="I50" s="3" t="s">
        <v>32</v>
      </c>
      <c r="J50" s="3">
        <v>113</v>
      </c>
      <c r="K50" s="3">
        <v>199.6</v>
      </c>
      <c r="L50" s="3">
        <v>69.599999999999994</v>
      </c>
      <c r="M50" s="3">
        <v>52.8</v>
      </c>
      <c r="N50" s="3">
        <v>4066</v>
      </c>
      <c r="O50" s="3" t="s">
        <v>33</v>
      </c>
      <c r="P50" s="3" t="s">
        <v>40</v>
      </c>
      <c r="Q50" s="3">
        <v>258</v>
      </c>
      <c r="R50" s="3" t="s">
        <v>35</v>
      </c>
      <c r="S50" s="3">
        <v>3.63</v>
      </c>
      <c r="T50" s="3">
        <v>4.17</v>
      </c>
      <c r="U50" s="3">
        <v>8.1</v>
      </c>
      <c r="V50" s="3">
        <v>176</v>
      </c>
      <c r="W50" s="3">
        <v>4750</v>
      </c>
      <c r="X50" s="3">
        <v>15</v>
      </c>
      <c r="Y50" s="3">
        <v>19</v>
      </c>
      <c r="Z50" s="3">
        <v>35550</v>
      </c>
      <c r="AA50">
        <f t="shared" si="0"/>
        <v>31995</v>
      </c>
    </row>
    <row r="51" spans="1:27" x14ac:dyDescent="0.35">
      <c r="A51" s="3">
        <v>50</v>
      </c>
      <c r="B51" s="3">
        <v>0</v>
      </c>
      <c r="C51" s="3" t="s">
        <v>92</v>
      </c>
      <c r="D51" s="3" t="s">
        <v>27</v>
      </c>
      <c r="E51" s="3" t="s">
        <v>28</v>
      </c>
      <c r="F51" s="3" t="s">
        <v>29</v>
      </c>
      <c r="G51" s="3" t="s">
        <v>42</v>
      </c>
      <c r="H51" s="3" t="s">
        <v>31</v>
      </c>
      <c r="I51" s="3" t="s">
        <v>32</v>
      </c>
      <c r="J51" s="3">
        <v>102</v>
      </c>
      <c r="K51" s="3">
        <v>191.7</v>
      </c>
      <c r="L51" s="3">
        <v>70.599999999999994</v>
      </c>
      <c r="M51" s="3">
        <v>47.8</v>
      </c>
      <c r="N51" s="3">
        <v>3950</v>
      </c>
      <c r="O51" s="3" t="s">
        <v>39</v>
      </c>
      <c r="P51" s="3" t="s">
        <v>93</v>
      </c>
      <c r="Q51" s="3">
        <v>326</v>
      </c>
      <c r="R51" s="3" t="s">
        <v>35</v>
      </c>
      <c r="S51" s="3">
        <v>3.54</v>
      </c>
      <c r="T51" s="3">
        <v>2.76</v>
      </c>
      <c r="U51" s="3">
        <v>11.5</v>
      </c>
      <c r="V51" s="3">
        <v>262</v>
      </c>
      <c r="W51" s="3">
        <v>5000</v>
      </c>
      <c r="X51" s="3">
        <v>13</v>
      </c>
      <c r="Y51" s="3">
        <v>17</v>
      </c>
      <c r="Z51" s="3">
        <v>36000</v>
      </c>
      <c r="AA51">
        <f t="shared" si="0"/>
        <v>32400</v>
      </c>
    </row>
    <row r="52" spans="1:27" x14ac:dyDescent="0.35">
      <c r="A52" s="3">
        <v>51</v>
      </c>
      <c r="B52" s="3">
        <v>1</v>
      </c>
      <c r="C52" s="3" t="s">
        <v>94</v>
      </c>
      <c r="D52" s="3" t="s">
        <v>27</v>
      </c>
      <c r="E52" s="3" t="s">
        <v>28</v>
      </c>
      <c r="F52" s="3" t="s">
        <v>29</v>
      </c>
      <c r="G52" s="3" t="s">
        <v>38</v>
      </c>
      <c r="H52" s="3" t="s">
        <v>43</v>
      </c>
      <c r="I52" s="3" t="s">
        <v>32</v>
      </c>
      <c r="J52" s="3">
        <v>93.1</v>
      </c>
      <c r="K52" s="3">
        <v>159.1</v>
      </c>
      <c r="L52" s="3">
        <v>64.2</v>
      </c>
      <c r="M52" s="3">
        <v>54.1</v>
      </c>
      <c r="N52" s="3">
        <v>1890</v>
      </c>
      <c r="O52" s="3" t="s">
        <v>44</v>
      </c>
      <c r="P52" s="3" t="s">
        <v>34</v>
      </c>
      <c r="Q52" s="3">
        <v>91</v>
      </c>
      <c r="R52" s="3" t="s">
        <v>63</v>
      </c>
      <c r="S52" s="3">
        <v>3.03</v>
      </c>
      <c r="T52" s="3">
        <v>3.15</v>
      </c>
      <c r="U52" s="3">
        <v>9</v>
      </c>
      <c r="V52" s="3">
        <v>68</v>
      </c>
      <c r="W52" s="3">
        <v>5000</v>
      </c>
      <c r="X52" s="3">
        <v>30</v>
      </c>
      <c r="Y52" s="3">
        <v>31</v>
      </c>
      <c r="Z52" s="3">
        <v>5195</v>
      </c>
      <c r="AA52">
        <f t="shared" si="0"/>
        <v>4675.5</v>
      </c>
    </row>
    <row r="53" spans="1:27" x14ac:dyDescent="0.35">
      <c r="A53" s="3">
        <v>52</v>
      </c>
      <c r="B53" s="3">
        <v>1</v>
      </c>
      <c r="C53" s="3" t="s">
        <v>95</v>
      </c>
      <c r="D53" s="3" t="s">
        <v>27</v>
      </c>
      <c r="E53" s="3" t="s">
        <v>28</v>
      </c>
      <c r="F53" s="3" t="s">
        <v>29</v>
      </c>
      <c r="G53" s="3" t="s">
        <v>38</v>
      </c>
      <c r="H53" s="3" t="s">
        <v>43</v>
      </c>
      <c r="I53" s="3" t="s">
        <v>32</v>
      </c>
      <c r="J53" s="3">
        <v>93.1</v>
      </c>
      <c r="K53" s="3">
        <v>159.1</v>
      </c>
      <c r="L53" s="3">
        <v>64.2</v>
      </c>
      <c r="M53" s="3">
        <v>54.1</v>
      </c>
      <c r="N53" s="3">
        <v>1900</v>
      </c>
      <c r="O53" s="3" t="s">
        <v>44</v>
      </c>
      <c r="P53" s="3" t="s">
        <v>34</v>
      </c>
      <c r="Q53" s="3">
        <v>91</v>
      </c>
      <c r="R53" s="3" t="s">
        <v>63</v>
      </c>
      <c r="S53" s="3">
        <v>3.03</v>
      </c>
      <c r="T53" s="3">
        <v>3.15</v>
      </c>
      <c r="U53" s="3">
        <v>9</v>
      </c>
      <c r="V53" s="3">
        <v>68</v>
      </c>
      <c r="W53" s="3">
        <v>5000</v>
      </c>
      <c r="X53" s="3">
        <v>31</v>
      </c>
      <c r="Y53" s="3">
        <v>38</v>
      </c>
      <c r="Z53" s="3">
        <v>6095</v>
      </c>
      <c r="AA53">
        <f t="shared" si="0"/>
        <v>5485.5</v>
      </c>
    </row>
    <row r="54" spans="1:27" x14ac:dyDescent="0.35">
      <c r="A54" s="3">
        <v>53</v>
      </c>
      <c r="B54" s="3">
        <v>1</v>
      </c>
      <c r="C54" s="3" t="s">
        <v>96</v>
      </c>
      <c r="D54" s="3" t="s">
        <v>27</v>
      </c>
      <c r="E54" s="3" t="s">
        <v>28</v>
      </c>
      <c r="F54" s="3" t="s">
        <v>29</v>
      </c>
      <c r="G54" s="3" t="s">
        <v>38</v>
      </c>
      <c r="H54" s="3" t="s">
        <v>43</v>
      </c>
      <c r="I54" s="3" t="s">
        <v>32</v>
      </c>
      <c r="J54" s="3">
        <v>93.1</v>
      </c>
      <c r="K54" s="3">
        <v>159.1</v>
      </c>
      <c r="L54" s="3">
        <v>64.2</v>
      </c>
      <c r="M54" s="3">
        <v>54.1</v>
      </c>
      <c r="N54" s="3">
        <v>1905</v>
      </c>
      <c r="O54" s="3" t="s">
        <v>44</v>
      </c>
      <c r="P54" s="3" t="s">
        <v>34</v>
      </c>
      <c r="Q54" s="3">
        <v>91</v>
      </c>
      <c r="R54" s="3" t="s">
        <v>63</v>
      </c>
      <c r="S54" s="3">
        <v>3.03</v>
      </c>
      <c r="T54" s="3">
        <v>3.15</v>
      </c>
      <c r="U54" s="3">
        <v>9</v>
      </c>
      <c r="V54" s="3">
        <v>68</v>
      </c>
      <c r="W54" s="3">
        <v>5000</v>
      </c>
      <c r="X54" s="3">
        <v>31</v>
      </c>
      <c r="Y54" s="3">
        <v>38</v>
      </c>
      <c r="Z54" s="3">
        <v>6795</v>
      </c>
      <c r="AA54">
        <f t="shared" si="0"/>
        <v>6115.5</v>
      </c>
    </row>
    <row r="55" spans="1:27" x14ac:dyDescent="0.35">
      <c r="A55" s="3">
        <v>54</v>
      </c>
      <c r="B55" s="3">
        <v>1</v>
      </c>
      <c r="C55" s="3" t="s">
        <v>97</v>
      </c>
      <c r="D55" s="3" t="s">
        <v>27</v>
      </c>
      <c r="E55" s="3" t="s">
        <v>28</v>
      </c>
      <c r="F55" s="3" t="s">
        <v>34</v>
      </c>
      <c r="G55" s="3" t="s">
        <v>42</v>
      </c>
      <c r="H55" s="3" t="s">
        <v>43</v>
      </c>
      <c r="I55" s="3" t="s">
        <v>32</v>
      </c>
      <c r="J55" s="3">
        <v>93.1</v>
      </c>
      <c r="K55" s="3">
        <v>166.8</v>
      </c>
      <c r="L55" s="3">
        <v>64.2</v>
      </c>
      <c r="M55" s="3">
        <v>54.1</v>
      </c>
      <c r="N55" s="3">
        <v>1945</v>
      </c>
      <c r="O55" s="3" t="s">
        <v>44</v>
      </c>
      <c r="P55" s="3" t="s">
        <v>34</v>
      </c>
      <c r="Q55" s="3">
        <v>91</v>
      </c>
      <c r="R55" s="3" t="s">
        <v>63</v>
      </c>
      <c r="S55" s="3">
        <v>3.03</v>
      </c>
      <c r="T55" s="3">
        <v>3.15</v>
      </c>
      <c r="U55" s="3">
        <v>9</v>
      </c>
      <c r="V55" s="3">
        <v>68</v>
      </c>
      <c r="W55" s="3">
        <v>5000</v>
      </c>
      <c r="X55" s="3">
        <v>31</v>
      </c>
      <c r="Y55" s="3">
        <v>38</v>
      </c>
      <c r="Z55" s="3">
        <v>6695</v>
      </c>
      <c r="AA55">
        <f t="shared" si="0"/>
        <v>6025.5</v>
      </c>
    </row>
    <row r="56" spans="1:27" x14ac:dyDescent="0.35">
      <c r="A56" s="3">
        <v>55</v>
      </c>
      <c r="B56" s="3">
        <v>1</v>
      </c>
      <c r="C56" s="3" t="s">
        <v>98</v>
      </c>
      <c r="D56" s="3" t="s">
        <v>27</v>
      </c>
      <c r="E56" s="3" t="s">
        <v>28</v>
      </c>
      <c r="F56" s="3" t="s">
        <v>34</v>
      </c>
      <c r="G56" s="3" t="s">
        <v>42</v>
      </c>
      <c r="H56" s="3" t="s">
        <v>43</v>
      </c>
      <c r="I56" s="3" t="s">
        <v>32</v>
      </c>
      <c r="J56" s="3">
        <v>93.1</v>
      </c>
      <c r="K56" s="3">
        <v>166.8</v>
      </c>
      <c r="L56" s="3">
        <v>64.2</v>
      </c>
      <c r="M56" s="3">
        <v>54.1</v>
      </c>
      <c r="N56" s="3">
        <v>1950</v>
      </c>
      <c r="O56" s="3" t="s">
        <v>44</v>
      </c>
      <c r="P56" s="3" t="s">
        <v>34</v>
      </c>
      <c r="Q56" s="3">
        <v>91</v>
      </c>
      <c r="R56" s="3" t="s">
        <v>63</v>
      </c>
      <c r="S56" s="3">
        <v>3.08</v>
      </c>
      <c r="T56" s="3">
        <v>3.15</v>
      </c>
      <c r="U56" s="3">
        <v>9</v>
      </c>
      <c r="V56" s="3">
        <v>68</v>
      </c>
      <c r="W56" s="3">
        <v>5000</v>
      </c>
      <c r="X56" s="3">
        <v>31</v>
      </c>
      <c r="Y56" s="3">
        <v>38</v>
      </c>
      <c r="Z56" s="3">
        <v>7395</v>
      </c>
      <c r="AA56">
        <f t="shared" si="0"/>
        <v>6655.5</v>
      </c>
    </row>
    <row r="57" spans="1:27" x14ac:dyDescent="0.35">
      <c r="A57" s="3">
        <v>56</v>
      </c>
      <c r="B57" s="3">
        <v>3</v>
      </c>
      <c r="C57" s="3" t="s">
        <v>99</v>
      </c>
      <c r="D57" s="3" t="s">
        <v>27</v>
      </c>
      <c r="E57" s="3" t="s">
        <v>28</v>
      </c>
      <c r="F57" s="3" t="s">
        <v>29</v>
      </c>
      <c r="G57" s="3" t="s">
        <v>38</v>
      </c>
      <c r="H57" s="3" t="s">
        <v>31</v>
      </c>
      <c r="I57" s="3" t="s">
        <v>32</v>
      </c>
      <c r="J57" s="3">
        <v>95.3</v>
      </c>
      <c r="K57" s="3">
        <v>169</v>
      </c>
      <c r="L57" s="3">
        <v>65.7</v>
      </c>
      <c r="M57" s="3">
        <v>49.6</v>
      </c>
      <c r="N57" s="3">
        <v>2380</v>
      </c>
      <c r="O57" s="3" t="s">
        <v>100</v>
      </c>
      <c r="P57" s="3" t="s">
        <v>29</v>
      </c>
      <c r="Q57" s="3">
        <v>70</v>
      </c>
      <c r="R57" s="3" t="s">
        <v>101</v>
      </c>
      <c r="S57" s="3">
        <v>3.33</v>
      </c>
      <c r="T57" s="3">
        <v>3.2549999999999999</v>
      </c>
      <c r="U57" s="3">
        <v>9.4</v>
      </c>
      <c r="V57" s="3">
        <v>101</v>
      </c>
      <c r="W57" s="3">
        <v>6000</v>
      </c>
      <c r="X57" s="3">
        <v>17</v>
      </c>
      <c r="Y57" s="3">
        <v>23</v>
      </c>
      <c r="Z57" s="3">
        <v>10945</v>
      </c>
      <c r="AA57">
        <f t="shared" si="0"/>
        <v>9850.5</v>
      </c>
    </row>
    <row r="58" spans="1:27" x14ac:dyDescent="0.35">
      <c r="A58" s="3">
        <v>57</v>
      </c>
      <c r="B58" s="3">
        <v>3</v>
      </c>
      <c r="C58" s="3" t="s">
        <v>102</v>
      </c>
      <c r="D58" s="3" t="s">
        <v>27</v>
      </c>
      <c r="E58" s="3" t="s">
        <v>28</v>
      </c>
      <c r="F58" s="3" t="s">
        <v>29</v>
      </c>
      <c r="G58" s="3" t="s">
        <v>38</v>
      </c>
      <c r="H58" s="3" t="s">
        <v>31</v>
      </c>
      <c r="I58" s="3" t="s">
        <v>32</v>
      </c>
      <c r="J58" s="3">
        <v>95.3</v>
      </c>
      <c r="K58" s="3">
        <v>169</v>
      </c>
      <c r="L58" s="3">
        <v>65.7</v>
      </c>
      <c r="M58" s="3">
        <v>49.6</v>
      </c>
      <c r="N58" s="3">
        <v>2380</v>
      </c>
      <c r="O58" s="3" t="s">
        <v>100</v>
      </c>
      <c r="P58" s="3" t="s">
        <v>29</v>
      </c>
      <c r="Q58" s="3">
        <v>70</v>
      </c>
      <c r="R58" s="3" t="s">
        <v>101</v>
      </c>
      <c r="S58" s="3">
        <v>3.33</v>
      </c>
      <c r="T58" s="3">
        <v>3.2549999999999999</v>
      </c>
      <c r="U58" s="3">
        <v>9.4</v>
      </c>
      <c r="V58" s="3">
        <v>101</v>
      </c>
      <c r="W58" s="3">
        <v>6000</v>
      </c>
      <c r="X58" s="3">
        <v>17</v>
      </c>
      <c r="Y58" s="3">
        <v>23</v>
      </c>
      <c r="Z58" s="3">
        <v>11845</v>
      </c>
      <c r="AA58">
        <f t="shared" si="0"/>
        <v>10660.5</v>
      </c>
    </row>
    <row r="59" spans="1:27" x14ac:dyDescent="0.35">
      <c r="A59" s="3">
        <v>58</v>
      </c>
      <c r="B59" s="3">
        <v>3</v>
      </c>
      <c r="C59" s="3" t="s">
        <v>103</v>
      </c>
      <c r="D59" s="3" t="s">
        <v>27</v>
      </c>
      <c r="E59" s="3" t="s">
        <v>28</v>
      </c>
      <c r="F59" s="3" t="s">
        <v>29</v>
      </c>
      <c r="G59" s="3" t="s">
        <v>38</v>
      </c>
      <c r="H59" s="3" t="s">
        <v>31</v>
      </c>
      <c r="I59" s="3" t="s">
        <v>32</v>
      </c>
      <c r="J59" s="3">
        <v>95.3</v>
      </c>
      <c r="K59" s="3">
        <v>169</v>
      </c>
      <c r="L59" s="3">
        <v>65.7</v>
      </c>
      <c r="M59" s="3">
        <v>49.6</v>
      </c>
      <c r="N59" s="3">
        <v>2385</v>
      </c>
      <c r="O59" s="3" t="s">
        <v>100</v>
      </c>
      <c r="P59" s="3" t="s">
        <v>29</v>
      </c>
      <c r="Q59" s="3">
        <v>70</v>
      </c>
      <c r="R59" s="3" t="s">
        <v>101</v>
      </c>
      <c r="S59" s="3">
        <v>3.33</v>
      </c>
      <c r="T59" s="3">
        <v>3.2549999999999999</v>
      </c>
      <c r="U59" s="3">
        <v>9.4</v>
      </c>
      <c r="V59" s="3">
        <v>101</v>
      </c>
      <c r="W59" s="3">
        <v>6000</v>
      </c>
      <c r="X59" s="3">
        <v>17</v>
      </c>
      <c r="Y59" s="3">
        <v>23</v>
      </c>
      <c r="Z59" s="3">
        <v>13645</v>
      </c>
      <c r="AA59">
        <f t="shared" si="0"/>
        <v>12280.5</v>
      </c>
    </row>
    <row r="60" spans="1:27" x14ac:dyDescent="0.35">
      <c r="A60" s="3">
        <v>59</v>
      </c>
      <c r="B60" s="3">
        <v>3</v>
      </c>
      <c r="C60" s="3" t="s">
        <v>104</v>
      </c>
      <c r="D60" s="3" t="s">
        <v>27</v>
      </c>
      <c r="E60" s="3" t="s">
        <v>28</v>
      </c>
      <c r="F60" s="3" t="s">
        <v>29</v>
      </c>
      <c r="G60" s="3" t="s">
        <v>38</v>
      </c>
      <c r="H60" s="3" t="s">
        <v>31</v>
      </c>
      <c r="I60" s="3" t="s">
        <v>32</v>
      </c>
      <c r="J60" s="3">
        <v>95.3</v>
      </c>
      <c r="K60" s="3">
        <v>169</v>
      </c>
      <c r="L60" s="3">
        <v>65.7</v>
      </c>
      <c r="M60" s="3">
        <v>49.6</v>
      </c>
      <c r="N60" s="3">
        <v>2500</v>
      </c>
      <c r="O60" s="3" t="s">
        <v>100</v>
      </c>
      <c r="P60" s="3" t="s">
        <v>29</v>
      </c>
      <c r="Q60" s="3">
        <v>80</v>
      </c>
      <c r="R60" s="3" t="s">
        <v>35</v>
      </c>
      <c r="S60" s="3">
        <v>3.33</v>
      </c>
      <c r="T60" s="3">
        <v>3.2549999999999999</v>
      </c>
      <c r="U60" s="3">
        <v>9.4</v>
      </c>
      <c r="V60" s="3">
        <v>135</v>
      </c>
      <c r="W60" s="3">
        <v>6000</v>
      </c>
      <c r="X60" s="3">
        <v>16</v>
      </c>
      <c r="Y60" s="3">
        <v>23</v>
      </c>
      <c r="Z60" s="3">
        <v>15645</v>
      </c>
      <c r="AA60">
        <f t="shared" si="0"/>
        <v>14080.5</v>
      </c>
    </row>
    <row r="61" spans="1:27" x14ac:dyDescent="0.35">
      <c r="A61" s="3">
        <v>60</v>
      </c>
      <c r="B61" s="3">
        <v>1</v>
      </c>
      <c r="C61" s="3" t="s">
        <v>99</v>
      </c>
      <c r="D61" s="3" t="s">
        <v>27</v>
      </c>
      <c r="E61" s="3" t="s">
        <v>28</v>
      </c>
      <c r="F61" s="3" t="s">
        <v>29</v>
      </c>
      <c r="G61" s="3" t="s">
        <v>38</v>
      </c>
      <c r="H61" s="3" t="s">
        <v>43</v>
      </c>
      <c r="I61" s="3" t="s">
        <v>32</v>
      </c>
      <c r="J61" s="3">
        <v>98.8</v>
      </c>
      <c r="K61" s="3">
        <v>177.8</v>
      </c>
      <c r="L61" s="3">
        <v>66.5</v>
      </c>
      <c r="M61" s="3">
        <v>53.7</v>
      </c>
      <c r="N61" s="3">
        <v>2385</v>
      </c>
      <c r="O61" s="3" t="s">
        <v>44</v>
      </c>
      <c r="P61" s="3" t="s">
        <v>34</v>
      </c>
      <c r="Q61" s="3">
        <v>122</v>
      </c>
      <c r="R61" s="3" t="s">
        <v>63</v>
      </c>
      <c r="S61" s="3">
        <v>3.39</v>
      </c>
      <c r="T61" s="3">
        <v>3.39</v>
      </c>
      <c r="U61" s="3">
        <v>8.6</v>
      </c>
      <c r="V61" s="3">
        <v>84</v>
      </c>
      <c r="W61" s="3">
        <v>4800</v>
      </c>
      <c r="X61" s="3">
        <v>26</v>
      </c>
      <c r="Y61" s="3">
        <v>32</v>
      </c>
      <c r="Z61" s="3">
        <v>8845</v>
      </c>
      <c r="AA61">
        <f t="shared" si="0"/>
        <v>7960.5</v>
      </c>
    </row>
    <row r="62" spans="1:27" x14ac:dyDescent="0.35">
      <c r="A62" s="3">
        <v>61</v>
      </c>
      <c r="B62" s="3">
        <v>0</v>
      </c>
      <c r="C62" s="3" t="s">
        <v>105</v>
      </c>
      <c r="D62" s="3" t="s">
        <v>27</v>
      </c>
      <c r="E62" s="3" t="s">
        <v>28</v>
      </c>
      <c r="F62" s="3" t="s">
        <v>34</v>
      </c>
      <c r="G62" s="3" t="s">
        <v>42</v>
      </c>
      <c r="H62" s="3" t="s">
        <v>43</v>
      </c>
      <c r="I62" s="3" t="s">
        <v>32</v>
      </c>
      <c r="J62" s="3">
        <v>98.8</v>
      </c>
      <c r="K62" s="3">
        <v>177.8</v>
      </c>
      <c r="L62" s="3">
        <v>66.5</v>
      </c>
      <c r="M62" s="3">
        <v>55.5</v>
      </c>
      <c r="N62" s="3">
        <v>2410</v>
      </c>
      <c r="O62" s="3" t="s">
        <v>44</v>
      </c>
      <c r="P62" s="3" t="s">
        <v>34</v>
      </c>
      <c r="Q62" s="3">
        <v>122</v>
      </c>
      <c r="R62" s="3" t="s">
        <v>63</v>
      </c>
      <c r="S62" s="3">
        <v>3.39</v>
      </c>
      <c r="T62" s="3">
        <v>3.39</v>
      </c>
      <c r="U62" s="3">
        <v>8.6</v>
      </c>
      <c r="V62" s="3">
        <v>84</v>
      </c>
      <c r="W62" s="3">
        <v>4800</v>
      </c>
      <c r="X62" s="3">
        <v>26</v>
      </c>
      <c r="Y62" s="3">
        <v>32</v>
      </c>
      <c r="Z62" s="3">
        <v>8495</v>
      </c>
      <c r="AA62">
        <f t="shared" si="0"/>
        <v>7645.5</v>
      </c>
    </row>
    <row r="63" spans="1:27" x14ac:dyDescent="0.35">
      <c r="A63" s="3">
        <v>62</v>
      </c>
      <c r="B63" s="3">
        <v>1</v>
      </c>
      <c r="C63" s="3" t="s">
        <v>106</v>
      </c>
      <c r="D63" s="3" t="s">
        <v>27</v>
      </c>
      <c r="E63" s="3" t="s">
        <v>28</v>
      </c>
      <c r="F63" s="3" t="s">
        <v>29</v>
      </c>
      <c r="G63" s="3" t="s">
        <v>38</v>
      </c>
      <c r="H63" s="3" t="s">
        <v>43</v>
      </c>
      <c r="I63" s="3" t="s">
        <v>32</v>
      </c>
      <c r="J63" s="3">
        <v>98.8</v>
      </c>
      <c r="K63" s="3">
        <v>177.8</v>
      </c>
      <c r="L63" s="3">
        <v>66.5</v>
      </c>
      <c r="M63" s="3">
        <v>53.7</v>
      </c>
      <c r="N63" s="3">
        <v>2385</v>
      </c>
      <c r="O63" s="3" t="s">
        <v>44</v>
      </c>
      <c r="P63" s="3" t="s">
        <v>34</v>
      </c>
      <c r="Q63" s="3">
        <v>122</v>
      </c>
      <c r="R63" s="3" t="s">
        <v>63</v>
      </c>
      <c r="S63" s="3">
        <v>3.39</v>
      </c>
      <c r="T63" s="3">
        <v>3.39</v>
      </c>
      <c r="U63" s="3">
        <v>8.6</v>
      </c>
      <c r="V63" s="3">
        <v>84</v>
      </c>
      <c r="W63" s="3">
        <v>4800</v>
      </c>
      <c r="X63" s="3">
        <v>26</v>
      </c>
      <c r="Y63" s="3">
        <v>32</v>
      </c>
      <c r="Z63" s="3">
        <v>10595</v>
      </c>
      <c r="AA63">
        <f t="shared" si="0"/>
        <v>9535.5</v>
      </c>
    </row>
    <row r="64" spans="1:27" x14ac:dyDescent="0.35">
      <c r="A64" s="3">
        <v>63</v>
      </c>
      <c r="B64" s="3">
        <v>0</v>
      </c>
      <c r="C64" s="3" t="s">
        <v>97</v>
      </c>
      <c r="D64" s="3" t="s">
        <v>27</v>
      </c>
      <c r="E64" s="3" t="s">
        <v>28</v>
      </c>
      <c r="F64" s="3" t="s">
        <v>34</v>
      </c>
      <c r="G64" s="3" t="s">
        <v>42</v>
      </c>
      <c r="H64" s="3" t="s">
        <v>43</v>
      </c>
      <c r="I64" s="3" t="s">
        <v>32</v>
      </c>
      <c r="J64" s="3">
        <v>98.8</v>
      </c>
      <c r="K64" s="3">
        <v>177.8</v>
      </c>
      <c r="L64" s="3">
        <v>66.5</v>
      </c>
      <c r="M64" s="3">
        <v>55.5</v>
      </c>
      <c r="N64" s="3">
        <v>2410</v>
      </c>
      <c r="O64" s="3" t="s">
        <v>44</v>
      </c>
      <c r="P64" s="3" t="s">
        <v>34</v>
      </c>
      <c r="Q64" s="3">
        <v>122</v>
      </c>
      <c r="R64" s="3" t="s">
        <v>63</v>
      </c>
      <c r="S64" s="3">
        <v>3.39</v>
      </c>
      <c r="T64" s="3">
        <v>3.39</v>
      </c>
      <c r="U64" s="3">
        <v>8.6</v>
      </c>
      <c r="V64" s="3">
        <v>84</v>
      </c>
      <c r="W64" s="3">
        <v>4800</v>
      </c>
      <c r="X64" s="3">
        <v>26</v>
      </c>
      <c r="Y64" s="3">
        <v>32</v>
      </c>
      <c r="Z64" s="3">
        <v>10245</v>
      </c>
      <c r="AA64">
        <f t="shared" si="0"/>
        <v>9220.5</v>
      </c>
    </row>
    <row r="65" spans="1:27" x14ac:dyDescent="0.35">
      <c r="A65" s="3">
        <v>64</v>
      </c>
      <c r="B65" s="3">
        <v>0</v>
      </c>
      <c r="C65" s="3" t="s">
        <v>98</v>
      </c>
      <c r="D65" s="3" t="s">
        <v>107</v>
      </c>
      <c r="E65" s="3" t="s">
        <v>28</v>
      </c>
      <c r="F65" s="3" t="s">
        <v>34</v>
      </c>
      <c r="G65" s="3" t="s">
        <v>42</v>
      </c>
      <c r="H65" s="3" t="s">
        <v>43</v>
      </c>
      <c r="I65" s="3" t="s">
        <v>32</v>
      </c>
      <c r="J65" s="3">
        <v>98.8</v>
      </c>
      <c r="K65" s="3">
        <v>177.8</v>
      </c>
      <c r="L65" s="3">
        <v>66.5</v>
      </c>
      <c r="M65" s="3">
        <v>55.5</v>
      </c>
      <c r="N65" s="3">
        <v>2443</v>
      </c>
      <c r="O65" s="3" t="s">
        <v>44</v>
      </c>
      <c r="P65" s="3" t="s">
        <v>34</v>
      </c>
      <c r="Q65" s="3">
        <v>122</v>
      </c>
      <c r="R65" s="3" t="s">
        <v>108</v>
      </c>
      <c r="S65" s="3">
        <v>3.39</v>
      </c>
      <c r="T65" s="3">
        <v>3.39</v>
      </c>
      <c r="U65" s="3">
        <v>22.7</v>
      </c>
      <c r="V65" s="3">
        <v>64</v>
      </c>
      <c r="W65" s="3">
        <v>4650</v>
      </c>
      <c r="X65" s="3">
        <v>36</v>
      </c>
      <c r="Y65" s="3">
        <v>42</v>
      </c>
      <c r="Z65" s="3">
        <v>10795</v>
      </c>
      <c r="AA65">
        <f t="shared" si="0"/>
        <v>9715.5</v>
      </c>
    </row>
    <row r="66" spans="1:27" x14ac:dyDescent="0.35">
      <c r="A66" s="3">
        <v>65</v>
      </c>
      <c r="B66" s="3">
        <v>0</v>
      </c>
      <c r="C66" s="3" t="s">
        <v>99</v>
      </c>
      <c r="D66" s="3" t="s">
        <v>27</v>
      </c>
      <c r="E66" s="3" t="s">
        <v>28</v>
      </c>
      <c r="F66" s="3" t="s">
        <v>34</v>
      </c>
      <c r="G66" s="3" t="s">
        <v>38</v>
      </c>
      <c r="H66" s="3" t="s">
        <v>43</v>
      </c>
      <c r="I66" s="3" t="s">
        <v>32</v>
      </c>
      <c r="J66" s="3">
        <v>98.8</v>
      </c>
      <c r="K66" s="3">
        <v>177.8</v>
      </c>
      <c r="L66" s="3">
        <v>66.5</v>
      </c>
      <c r="M66" s="3">
        <v>55.5</v>
      </c>
      <c r="N66" s="3">
        <v>2425</v>
      </c>
      <c r="O66" s="3" t="s">
        <v>44</v>
      </c>
      <c r="P66" s="3" t="s">
        <v>34</v>
      </c>
      <c r="Q66" s="3">
        <v>122</v>
      </c>
      <c r="R66" s="3" t="s">
        <v>63</v>
      </c>
      <c r="S66" s="3">
        <v>3.39</v>
      </c>
      <c r="T66" s="3">
        <v>3.39</v>
      </c>
      <c r="U66" s="3">
        <v>8.6</v>
      </c>
      <c r="V66" s="3">
        <v>84</v>
      </c>
      <c r="W66" s="3">
        <v>4800</v>
      </c>
      <c r="X66" s="3">
        <v>26</v>
      </c>
      <c r="Y66" s="3">
        <v>32</v>
      </c>
      <c r="Z66" s="3">
        <v>11245</v>
      </c>
      <c r="AA66">
        <f t="shared" si="0"/>
        <v>10120.5</v>
      </c>
    </row>
    <row r="67" spans="1:27" x14ac:dyDescent="0.35">
      <c r="A67" s="3">
        <v>66</v>
      </c>
      <c r="B67" s="3">
        <v>0</v>
      </c>
      <c r="C67" s="3" t="s">
        <v>102</v>
      </c>
      <c r="D67" s="3" t="s">
        <v>27</v>
      </c>
      <c r="E67" s="3" t="s">
        <v>28</v>
      </c>
      <c r="F67" s="3" t="s">
        <v>34</v>
      </c>
      <c r="G67" s="3" t="s">
        <v>42</v>
      </c>
      <c r="H67" s="3" t="s">
        <v>31</v>
      </c>
      <c r="I67" s="3" t="s">
        <v>32</v>
      </c>
      <c r="J67" s="3">
        <v>104.9</v>
      </c>
      <c r="K67" s="3">
        <v>175</v>
      </c>
      <c r="L67" s="3">
        <v>66.099999999999994</v>
      </c>
      <c r="M67" s="3">
        <v>54.4</v>
      </c>
      <c r="N67" s="3">
        <v>2670</v>
      </c>
      <c r="O67" s="3" t="s">
        <v>44</v>
      </c>
      <c r="P67" s="3" t="s">
        <v>34</v>
      </c>
      <c r="Q67" s="3">
        <v>140</v>
      </c>
      <c r="R67" s="3" t="s">
        <v>35</v>
      </c>
      <c r="S67" s="3">
        <v>3.76</v>
      </c>
      <c r="T67" s="3">
        <v>3.16</v>
      </c>
      <c r="U67" s="3">
        <v>8</v>
      </c>
      <c r="V67" s="3">
        <v>120</v>
      </c>
      <c r="W67" s="3">
        <v>5000</v>
      </c>
      <c r="X67" s="3">
        <v>19</v>
      </c>
      <c r="Y67" s="3">
        <v>27</v>
      </c>
      <c r="Z67" s="3">
        <v>18280</v>
      </c>
      <c r="AA67">
        <f t="shared" si="0"/>
        <v>16452</v>
      </c>
    </row>
    <row r="68" spans="1:27" x14ac:dyDescent="0.35">
      <c r="A68" s="3">
        <v>67</v>
      </c>
      <c r="B68" s="3">
        <v>0</v>
      </c>
      <c r="C68" s="3" t="s">
        <v>103</v>
      </c>
      <c r="D68" s="3" t="s">
        <v>107</v>
      </c>
      <c r="E68" s="3" t="s">
        <v>28</v>
      </c>
      <c r="F68" s="3" t="s">
        <v>34</v>
      </c>
      <c r="G68" s="3" t="s">
        <v>42</v>
      </c>
      <c r="H68" s="3" t="s">
        <v>31</v>
      </c>
      <c r="I68" s="3" t="s">
        <v>32</v>
      </c>
      <c r="J68" s="3">
        <v>104.9</v>
      </c>
      <c r="K68" s="3">
        <v>175</v>
      </c>
      <c r="L68" s="3">
        <v>66.099999999999994</v>
      </c>
      <c r="M68" s="3">
        <v>54.4</v>
      </c>
      <c r="N68" s="3">
        <v>2700</v>
      </c>
      <c r="O68" s="3" t="s">
        <v>44</v>
      </c>
      <c r="P68" s="3" t="s">
        <v>34</v>
      </c>
      <c r="Q68" s="3">
        <v>134</v>
      </c>
      <c r="R68" s="3" t="s">
        <v>108</v>
      </c>
      <c r="S68" s="3">
        <v>3.43</v>
      </c>
      <c r="T68" s="3">
        <v>3.64</v>
      </c>
      <c r="U68" s="3">
        <v>22</v>
      </c>
      <c r="V68" s="3">
        <v>72</v>
      </c>
      <c r="W68" s="3">
        <v>4200</v>
      </c>
      <c r="X68" s="3">
        <v>31</v>
      </c>
      <c r="Y68" s="3">
        <v>39</v>
      </c>
      <c r="Z68" s="3">
        <v>18344</v>
      </c>
      <c r="AA68">
        <f t="shared" si="0"/>
        <v>16509.600000000002</v>
      </c>
    </row>
    <row r="69" spans="1:27" x14ac:dyDescent="0.35">
      <c r="A69" s="3">
        <v>68</v>
      </c>
      <c r="B69" s="3">
        <v>-1</v>
      </c>
      <c r="C69" s="3" t="s">
        <v>109</v>
      </c>
      <c r="D69" s="3" t="s">
        <v>107</v>
      </c>
      <c r="E69" s="3" t="s">
        <v>52</v>
      </c>
      <c r="F69" s="3" t="s">
        <v>34</v>
      </c>
      <c r="G69" s="3" t="s">
        <v>42</v>
      </c>
      <c r="H69" s="3" t="s">
        <v>31</v>
      </c>
      <c r="I69" s="3" t="s">
        <v>32</v>
      </c>
      <c r="J69" s="3">
        <v>110</v>
      </c>
      <c r="K69" s="3">
        <v>190.9</v>
      </c>
      <c r="L69" s="3">
        <v>70.3</v>
      </c>
      <c r="M69" s="3">
        <v>56.5</v>
      </c>
      <c r="N69" s="3">
        <v>3515</v>
      </c>
      <c r="O69" s="3" t="s">
        <v>44</v>
      </c>
      <c r="P69" s="3" t="s">
        <v>47</v>
      </c>
      <c r="Q69" s="3">
        <v>183</v>
      </c>
      <c r="R69" s="3" t="s">
        <v>108</v>
      </c>
      <c r="S69" s="3">
        <v>3.58</v>
      </c>
      <c r="T69" s="3">
        <v>3.64</v>
      </c>
      <c r="U69" s="3">
        <v>21.5</v>
      </c>
      <c r="V69" s="3">
        <v>123</v>
      </c>
      <c r="W69" s="3">
        <v>4350</v>
      </c>
      <c r="X69" s="3">
        <v>22</v>
      </c>
      <c r="Y69" s="3">
        <v>25</v>
      </c>
      <c r="Z69" s="3">
        <v>25552</v>
      </c>
      <c r="AA69">
        <f t="shared" ref="AA69:AA132" si="1">Z69*0.9</f>
        <v>22996.799999999999</v>
      </c>
    </row>
    <row r="70" spans="1:27" x14ac:dyDescent="0.35">
      <c r="A70" s="3">
        <v>69</v>
      </c>
      <c r="B70" s="3">
        <v>-1</v>
      </c>
      <c r="C70" s="3" t="s">
        <v>110</v>
      </c>
      <c r="D70" s="3" t="s">
        <v>107</v>
      </c>
      <c r="E70" s="3" t="s">
        <v>52</v>
      </c>
      <c r="F70" s="3" t="s">
        <v>34</v>
      </c>
      <c r="G70" s="3" t="s">
        <v>50</v>
      </c>
      <c r="H70" s="3" t="s">
        <v>31</v>
      </c>
      <c r="I70" s="3" t="s">
        <v>32</v>
      </c>
      <c r="J70" s="3">
        <v>110</v>
      </c>
      <c r="K70" s="3">
        <v>190.9</v>
      </c>
      <c r="L70" s="3">
        <v>70.3</v>
      </c>
      <c r="M70" s="3">
        <v>58.7</v>
      </c>
      <c r="N70" s="3">
        <v>3750</v>
      </c>
      <c r="O70" s="3" t="s">
        <v>44</v>
      </c>
      <c r="P70" s="3" t="s">
        <v>47</v>
      </c>
      <c r="Q70" s="3">
        <v>183</v>
      </c>
      <c r="R70" s="3" t="s">
        <v>108</v>
      </c>
      <c r="S70" s="3">
        <v>3.58</v>
      </c>
      <c r="T70" s="3">
        <v>3.64</v>
      </c>
      <c r="U70" s="3">
        <v>21.5</v>
      </c>
      <c r="V70" s="3">
        <v>123</v>
      </c>
      <c r="W70" s="3">
        <v>4350</v>
      </c>
      <c r="X70" s="3">
        <v>22</v>
      </c>
      <c r="Y70" s="3">
        <v>25</v>
      </c>
      <c r="Z70" s="3">
        <v>28248</v>
      </c>
      <c r="AA70">
        <f t="shared" si="1"/>
        <v>25423.200000000001</v>
      </c>
    </row>
    <row r="71" spans="1:27" x14ac:dyDescent="0.35">
      <c r="A71" s="3">
        <v>70</v>
      </c>
      <c r="B71" s="3">
        <v>0</v>
      </c>
      <c r="C71" s="3" t="s">
        <v>111</v>
      </c>
      <c r="D71" s="3" t="s">
        <v>107</v>
      </c>
      <c r="E71" s="3" t="s">
        <v>52</v>
      </c>
      <c r="F71" s="3" t="s">
        <v>29</v>
      </c>
      <c r="G71" s="3" t="s">
        <v>112</v>
      </c>
      <c r="H71" s="3" t="s">
        <v>31</v>
      </c>
      <c r="I71" s="3" t="s">
        <v>32</v>
      </c>
      <c r="J71" s="3">
        <v>106.7</v>
      </c>
      <c r="K71" s="3">
        <v>187.5</v>
      </c>
      <c r="L71" s="3">
        <v>70.3</v>
      </c>
      <c r="M71" s="3">
        <v>54.9</v>
      </c>
      <c r="N71" s="3">
        <v>3495</v>
      </c>
      <c r="O71" s="3" t="s">
        <v>44</v>
      </c>
      <c r="P71" s="3" t="s">
        <v>47</v>
      </c>
      <c r="Q71" s="3">
        <v>183</v>
      </c>
      <c r="R71" s="3" t="s">
        <v>108</v>
      </c>
      <c r="S71" s="3">
        <v>3.58</v>
      </c>
      <c r="T71" s="3">
        <v>3.64</v>
      </c>
      <c r="U71" s="3">
        <v>21.5</v>
      </c>
      <c r="V71" s="3">
        <v>123</v>
      </c>
      <c r="W71" s="3">
        <v>4350</v>
      </c>
      <c r="X71" s="3">
        <v>22</v>
      </c>
      <c r="Y71" s="3">
        <v>25</v>
      </c>
      <c r="Z71" s="3">
        <v>28176</v>
      </c>
      <c r="AA71">
        <f t="shared" si="1"/>
        <v>25358.400000000001</v>
      </c>
    </row>
    <row r="72" spans="1:27" x14ac:dyDescent="0.35">
      <c r="A72" s="3">
        <v>71</v>
      </c>
      <c r="B72" s="3">
        <v>-1</v>
      </c>
      <c r="C72" s="3" t="s">
        <v>113</v>
      </c>
      <c r="D72" s="3" t="s">
        <v>107</v>
      </c>
      <c r="E72" s="3" t="s">
        <v>52</v>
      </c>
      <c r="F72" s="3" t="s">
        <v>34</v>
      </c>
      <c r="G72" s="3" t="s">
        <v>42</v>
      </c>
      <c r="H72" s="3" t="s">
        <v>31</v>
      </c>
      <c r="I72" s="3" t="s">
        <v>32</v>
      </c>
      <c r="J72" s="3">
        <v>115.6</v>
      </c>
      <c r="K72" s="3">
        <v>202.6</v>
      </c>
      <c r="L72" s="3">
        <v>71.7</v>
      </c>
      <c r="M72" s="3">
        <v>56.3</v>
      </c>
      <c r="N72" s="3">
        <v>3770</v>
      </c>
      <c r="O72" s="3" t="s">
        <v>44</v>
      </c>
      <c r="P72" s="3" t="s">
        <v>47</v>
      </c>
      <c r="Q72" s="3">
        <v>183</v>
      </c>
      <c r="R72" s="3" t="s">
        <v>108</v>
      </c>
      <c r="S72" s="3">
        <v>3.58</v>
      </c>
      <c r="T72" s="3">
        <v>3.64</v>
      </c>
      <c r="U72" s="3">
        <v>21.5</v>
      </c>
      <c r="V72" s="3">
        <v>123</v>
      </c>
      <c r="W72" s="3">
        <v>4350</v>
      </c>
      <c r="X72" s="3">
        <v>22</v>
      </c>
      <c r="Y72" s="3">
        <v>25</v>
      </c>
      <c r="Z72" s="3">
        <v>31600</v>
      </c>
      <c r="AA72">
        <f t="shared" si="1"/>
        <v>28440</v>
      </c>
    </row>
    <row r="73" spans="1:27" x14ac:dyDescent="0.35">
      <c r="A73" s="3">
        <v>72</v>
      </c>
      <c r="B73" s="3">
        <v>-1</v>
      </c>
      <c r="C73" s="3" t="s">
        <v>114</v>
      </c>
      <c r="D73" s="3" t="s">
        <v>27</v>
      </c>
      <c r="E73" s="3" t="s">
        <v>28</v>
      </c>
      <c r="F73" s="3" t="s">
        <v>34</v>
      </c>
      <c r="G73" s="3" t="s">
        <v>42</v>
      </c>
      <c r="H73" s="3" t="s">
        <v>31</v>
      </c>
      <c r="I73" s="3" t="s">
        <v>32</v>
      </c>
      <c r="J73" s="3">
        <v>115.6</v>
      </c>
      <c r="K73" s="3">
        <v>202.6</v>
      </c>
      <c r="L73" s="3">
        <v>71.7</v>
      </c>
      <c r="M73" s="3">
        <v>56.5</v>
      </c>
      <c r="N73" s="3">
        <v>3740</v>
      </c>
      <c r="O73" s="3" t="s">
        <v>39</v>
      </c>
      <c r="P73" s="3" t="s">
        <v>115</v>
      </c>
      <c r="Q73" s="3">
        <v>234</v>
      </c>
      <c r="R73" s="3" t="s">
        <v>35</v>
      </c>
      <c r="S73" s="3">
        <v>3.46</v>
      </c>
      <c r="T73" s="3">
        <v>3.1</v>
      </c>
      <c r="U73" s="3">
        <v>8.3000000000000007</v>
      </c>
      <c r="V73" s="3">
        <v>155</v>
      </c>
      <c r="W73" s="3">
        <v>4750</v>
      </c>
      <c r="X73" s="3">
        <v>16</v>
      </c>
      <c r="Y73" s="3">
        <v>18</v>
      </c>
      <c r="Z73" s="3">
        <v>34184</v>
      </c>
      <c r="AA73">
        <f t="shared" si="1"/>
        <v>30765.600000000002</v>
      </c>
    </row>
    <row r="74" spans="1:27" x14ac:dyDescent="0.35">
      <c r="A74" s="3">
        <v>73</v>
      </c>
      <c r="B74" s="3">
        <v>3</v>
      </c>
      <c r="C74" s="3" t="s">
        <v>116</v>
      </c>
      <c r="D74" s="3" t="s">
        <v>27</v>
      </c>
      <c r="E74" s="3" t="s">
        <v>28</v>
      </c>
      <c r="F74" s="3" t="s">
        <v>29</v>
      </c>
      <c r="G74" s="3" t="s">
        <v>30</v>
      </c>
      <c r="H74" s="3" t="s">
        <v>31</v>
      </c>
      <c r="I74" s="3" t="s">
        <v>32</v>
      </c>
      <c r="J74" s="3">
        <v>96.6</v>
      </c>
      <c r="K74" s="3">
        <v>180.3</v>
      </c>
      <c r="L74" s="3">
        <v>70.5</v>
      </c>
      <c r="M74" s="3">
        <v>50.8</v>
      </c>
      <c r="N74" s="3">
        <v>3685</v>
      </c>
      <c r="O74" s="3" t="s">
        <v>39</v>
      </c>
      <c r="P74" s="3" t="s">
        <v>115</v>
      </c>
      <c r="Q74" s="3">
        <v>234</v>
      </c>
      <c r="R74" s="3" t="s">
        <v>35</v>
      </c>
      <c r="S74" s="3">
        <v>3.46</v>
      </c>
      <c r="T74" s="3">
        <v>3.1</v>
      </c>
      <c r="U74" s="3">
        <v>8.3000000000000007</v>
      </c>
      <c r="V74" s="3">
        <v>155</v>
      </c>
      <c r="W74" s="3">
        <v>4750</v>
      </c>
      <c r="X74" s="3">
        <v>16</v>
      </c>
      <c r="Y74" s="3">
        <v>18</v>
      </c>
      <c r="Z74" s="3">
        <v>35056</v>
      </c>
      <c r="AA74">
        <f t="shared" si="1"/>
        <v>31550.400000000001</v>
      </c>
    </row>
    <row r="75" spans="1:27" x14ac:dyDescent="0.35">
      <c r="A75" s="3">
        <v>74</v>
      </c>
      <c r="B75" s="3">
        <v>0</v>
      </c>
      <c r="C75" s="3" t="s">
        <v>117</v>
      </c>
      <c r="D75" s="3" t="s">
        <v>27</v>
      </c>
      <c r="E75" s="3" t="s">
        <v>28</v>
      </c>
      <c r="F75" s="3" t="s">
        <v>34</v>
      </c>
      <c r="G75" s="3" t="s">
        <v>42</v>
      </c>
      <c r="H75" s="3" t="s">
        <v>31</v>
      </c>
      <c r="I75" s="3" t="s">
        <v>32</v>
      </c>
      <c r="J75" s="3">
        <v>120.9</v>
      </c>
      <c r="K75" s="3">
        <v>208.1</v>
      </c>
      <c r="L75" s="3">
        <v>71.7</v>
      </c>
      <c r="M75" s="3">
        <v>56.7</v>
      </c>
      <c r="N75" s="3">
        <v>3900</v>
      </c>
      <c r="O75" s="3" t="s">
        <v>39</v>
      </c>
      <c r="P75" s="3" t="s">
        <v>115</v>
      </c>
      <c r="Q75" s="3">
        <v>308</v>
      </c>
      <c r="R75" s="3" t="s">
        <v>35</v>
      </c>
      <c r="S75" s="3">
        <v>3.8</v>
      </c>
      <c r="T75" s="3">
        <v>3.35</v>
      </c>
      <c r="U75" s="3">
        <v>8</v>
      </c>
      <c r="V75" s="3">
        <v>184</v>
      </c>
      <c r="W75" s="3">
        <v>4500</v>
      </c>
      <c r="X75" s="3">
        <v>14</v>
      </c>
      <c r="Y75" s="3">
        <v>16</v>
      </c>
      <c r="Z75" s="3">
        <v>40960</v>
      </c>
      <c r="AA75">
        <f t="shared" si="1"/>
        <v>36864</v>
      </c>
    </row>
    <row r="76" spans="1:27" x14ac:dyDescent="0.35">
      <c r="A76" s="3">
        <v>75</v>
      </c>
      <c r="B76" s="3">
        <v>1</v>
      </c>
      <c r="C76" s="3" t="s">
        <v>118</v>
      </c>
      <c r="D76" s="3" t="s">
        <v>27</v>
      </c>
      <c r="E76" s="3" t="s">
        <v>28</v>
      </c>
      <c r="F76" s="3" t="s">
        <v>29</v>
      </c>
      <c r="G76" s="3" t="s">
        <v>112</v>
      </c>
      <c r="H76" s="3" t="s">
        <v>31</v>
      </c>
      <c r="I76" s="3" t="s">
        <v>32</v>
      </c>
      <c r="J76" s="3">
        <v>112</v>
      </c>
      <c r="K76" s="3">
        <v>199.2</v>
      </c>
      <c r="L76" s="3">
        <v>72</v>
      </c>
      <c r="M76" s="3">
        <v>55.4</v>
      </c>
      <c r="N76" s="3">
        <v>3715</v>
      </c>
      <c r="O76" s="3" t="s">
        <v>39</v>
      </c>
      <c r="P76" s="3" t="s">
        <v>115</v>
      </c>
      <c r="Q76" s="3">
        <v>304</v>
      </c>
      <c r="R76" s="3" t="s">
        <v>35</v>
      </c>
      <c r="S76" s="3">
        <v>3.8</v>
      </c>
      <c r="T76" s="3">
        <v>3.35</v>
      </c>
      <c r="U76" s="3">
        <v>8</v>
      </c>
      <c r="V76" s="3">
        <v>184</v>
      </c>
      <c r="W76" s="3">
        <v>4500</v>
      </c>
      <c r="X76" s="3">
        <v>14</v>
      </c>
      <c r="Y76" s="3">
        <v>16</v>
      </c>
      <c r="Z76" s="3">
        <v>45400</v>
      </c>
      <c r="AA76">
        <f t="shared" si="1"/>
        <v>40860</v>
      </c>
    </row>
    <row r="77" spans="1:27" x14ac:dyDescent="0.35">
      <c r="A77" s="3">
        <v>76</v>
      </c>
      <c r="B77" s="3">
        <v>1</v>
      </c>
      <c r="C77" s="3" t="s">
        <v>119</v>
      </c>
      <c r="D77" s="3" t="s">
        <v>27</v>
      </c>
      <c r="E77" s="3" t="s">
        <v>52</v>
      </c>
      <c r="F77" s="3" t="s">
        <v>29</v>
      </c>
      <c r="G77" s="3" t="s">
        <v>38</v>
      </c>
      <c r="H77" s="3" t="s">
        <v>31</v>
      </c>
      <c r="I77" s="3" t="s">
        <v>32</v>
      </c>
      <c r="J77" s="3">
        <v>102.7</v>
      </c>
      <c r="K77" s="3">
        <v>178.4</v>
      </c>
      <c r="L77" s="3">
        <v>68</v>
      </c>
      <c r="M77" s="3">
        <v>54.8</v>
      </c>
      <c r="N77" s="3">
        <v>2910</v>
      </c>
      <c r="O77" s="3" t="s">
        <v>44</v>
      </c>
      <c r="P77" s="3" t="s">
        <v>34</v>
      </c>
      <c r="Q77" s="3">
        <v>140</v>
      </c>
      <c r="R77" s="3" t="s">
        <v>35</v>
      </c>
      <c r="S77" s="3">
        <v>3.78</v>
      </c>
      <c r="T77" s="3">
        <v>3.12</v>
      </c>
      <c r="U77" s="3">
        <v>8</v>
      </c>
      <c r="V77" s="3">
        <v>175</v>
      </c>
      <c r="W77" s="3">
        <v>5000</v>
      </c>
      <c r="X77" s="3">
        <v>19</v>
      </c>
      <c r="Y77" s="3">
        <v>24</v>
      </c>
      <c r="Z77" s="3">
        <v>16503</v>
      </c>
      <c r="AA77">
        <f t="shared" si="1"/>
        <v>14852.7</v>
      </c>
    </row>
    <row r="78" spans="1:27" x14ac:dyDescent="0.35">
      <c r="A78" s="3">
        <v>77</v>
      </c>
      <c r="B78" s="3">
        <v>2</v>
      </c>
      <c r="C78" s="3" t="s">
        <v>120</v>
      </c>
      <c r="D78" s="3" t="s">
        <v>27</v>
      </c>
      <c r="E78" s="3" t="s">
        <v>28</v>
      </c>
      <c r="F78" s="3" t="s">
        <v>29</v>
      </c>
      <c r="G78" s="3" t="s">
        <v>38</v>
      </c>
      <c r="H78" s="3" t="s">
        <v>43</v>
      </c>
      <c r="I78" s="3" t="s">
        <v>32</v>
      </c>
      <c r="J78" s="3">
        <v>93.7</v>
      </c>
      <c r="K78" s="3">
        <v>157.30000000000001</v>
      </c>
      <c r="L78" s="3">
        <v>64.400000000000006</v>
      </c>
      <c r="M78" s="3">
        <v>50.8</v>
      </c>
      <c r="N78" s="3">
        <v>1918</v>
      </c>
      <c r="O78" s="3" t="s">
        <v>44</v>
      </c>
      <c r="P78" s="3" t="s">
        <v>34</v>
      </c>
      <c r="Q78" s="3">
        <v>92</v>
      </c>
      <c r="R78" s="3" t="s">
        <v>63</v>
      </c>
      <c r="S78" s="3">
        <v>2.97</v>
      </c>
      <c r="T78" s="3">
        <v>3.23</v>
      </c>
      <c r="U78" s="3">
        <v>9.4</v>
      </c>
      <c r="V78" s="3">
        <v>68</v>
      </c>
      <c r="W78" s="3">
        <v>5500</v>
      </c>
      <c r="X78" s="3">
        <v>37</v>
      </c>
      <c r="Y78" s="3">
        <v>41</v>
      </c>
      <c r="Z78" s="3">
        <v>5389</v>
      </c>
      <c r="AA78">
        <f t="shared" si="1"/>
        <v>4850.1000000000004</v>
      </c>
    </row>
    <row r="79" spans="1:27" x14ac:dyDescent="0.35">
      <c r="A79" s="3">
        <v>78</v>
      </c>
      <c r="B79" s="3">
        <v>2</v>
      </c>
      <c r="C79" s="3" t="s">
        <v>121</v>
      </c>
      <c r="D79" s="3" t="s">
        <v>27</v>
      </c>
      <c r="E79" s="3" t="s">
        <v>28</v>
      </c>
      <c r="F79" s="3" t="s">
        <v>29</v>
      </c>
      <c r="G79" s="3" t="s">
        <v>38</v>
      </c>
      <c r="H79" s="3" t="s">
        <v>43</v>
      </c>
      <c r="I79" s="3" t="s">
        <v>32</v>
      </c>
      <c r="J79" s="3">
        <v>93.7</v>
      </c>
      <c r="K79" s="3">
        <v>157.30000000000001</v>
      </c>
      <c r="L79" s="3">
        <v>64.400000000000006</v>
      </c>
      <c r="M79" s="3">
        <v>50.8</v>
      </c>
      <c r="N79" s="3">
        <v>1944</v>
      </c>
      <c r="O79" s="3" t="s">
        <v>44</v>
      </c>
      <c r="P79" s="3" t="s">
        <v>34</v>
      </c>
      <c r="Q79" s="3">
        <v>92</v>
      </c>
      <c r="R79" s="3" t="s">
        <v>63</v>
      </c>
      <c r="S79" s="3">
        <v>2.97</v>
      </c>
      <c r="T79" s="3">
        <v>3.23</v>
      </c>
      <c r="U79" s="3">
        <v>9.4</v>
      </c>
      <c r="V79" s="3">
        <v>68</v>
      </c>
      <c r="W79" s="3">
        <v>5500</v>
      </c>
      <c r="X79" s="3">
        <v>31</v>
      </c>
      <c r="Y79" s="3">
        <v>38</v>
      </c>
      <c r="Z79" s="3">
        <v>6189</v>
      </c>
      <c r="AA79">
        <f t="shared" si="1"/>
        <v>5570.1</v>
      </c>
    </row>
    <row r="80" spans="1:27" x14ac:dyDescent="0.35">
      <c r="A80" s="3">
        <v>79</v>
      </c>
      <c r="B80" s="3">
        <v>2</v>
      </c>
      <c r="C80" s="3" t="s">
        <v>122</v>
      </c>
      <c r="D80" s="3" t="s">
        <v>27</v>
      </c>
      <c r="E80" s="3" t="s">
        <v>28</v>
      </c>
      <c r="F80" s="3" t="s">
        <v>29</v>
      </c>
      <c r="G80" s="3" t="s">
        <v>38</v>
      </c>
      <c r="H80" s="3" t="s">
        <v>43</v>
      </c>
      <c r="I80" s="3" t="s">
        <v>32</v>
      </c>
      <c r="J80" s="3">
        <v>93.7</v>
      </c>
      <c r="K80" s="3">
        <v>157.30000000000001</v>
      </c>
      <c r="L80" s="3">
        <v>64.400000000000006</v>
      </c>
      <c r="M80" s="3">
        <v>50.8</v>
      </c>
      <c r="N80" s="3">
        <v>2004</v>
      </c>
      <c r="O80" s="3" t="s">
        <v>44</v>
      </c>
      <c r="P80" s="3" t="s">
        <v>34</v>
      </c>
      <c r="Q80" s="3">
        <v>92</v>
      </c>
      <c r="R80" s="3" t="s">
        <v>63</v>
      </c>
      <c r="S80" s="3">
        <v>2.97</v>
      </c>
      <c r="T80" s="3">
        <v>3.23</v>
      </c>
      <c r="U80" s="3">
        <v>9.4</v>
      </c>
      <c r="V80" s="3">
        <v>68</v>
      </c>
      <c r="W80" s="3">
        <v>5500</v>
      </c>
      <c r="X80" s="3">
        <v>31</v>
      </c>
      <c r="Y80" s="3">
        <v>38</v>
      </c>
      <c r="Z80" s="3">
        <v>6669</v>
      </c>
      <c r="AA80">
        <f t="shared" si="1"/>
        <v>6002.1</v>
      </c>
    </row>
    <row r="81" spans="1:27" x14ac:dyDescent="0.35">
      <c r="A81" s="3">
        <v>80</v>
      </c>
      <c r="B81" s="3">
        <v>1</v>
      </c>
      <c r="C81" s="3" t="s">
        <v>123</v>
      </c>
      <c r="D81" s="3" t="s">
        <v>27</v>
      </c>
      <c r="E81" s="3" t="s">
        <v>52</v>
      </c>
      <c r="F81" s="3" t="s">
        <v>29</v>
      </c>
      <c r="G81" s="3" t="s">
        <v>38</v>
      </c>
      <c r="H81" s="3" t="s">
        <v>43</v>
      </c>
      <c r="I81" s="3" t="s">
        <v>32</v>
      </c>
      <c r="J81" s="3">
        <v>93</v>
      </c>
      <c r="K81" s="3">
        <v>157.30000000000001</v>
      </c>
      <c r="L81" s="3">
        <v>63.8</v>
      </c>
      <c r="M81" s="3">
        <v>50.8</v>
      </c>
      <c r="N81" s="3">
        <v>2145</v>
      </c>
      <c r="O81" s="3" t="s">
        <v>44</v>
      </c>
      <c r="P81" s="3" t="s">
        <v>34</v>
      </c>
      <c r="Q81" s="3">
        <v>98</v>
      </c>
      <c r="R81" s="3" t="s">
        <v>124</v>
      </c>
      <c r="S81" s="3">
        <v>3.03</v>
      </c>
      <c r="T81" s="3">
        <v>3.39</v>
      </c>
      <c r="U81" s="3">
        <v>7.6</v>
      </c>
      <c r="V81" s="3">
        <v>102</v>
      </c>
      <c r="W81" s="3">
        <v>5500</v>
      </c>
      <c r="X81" s="3">
        <v>24</v>
      </c>
      <c r="Y81" s="3">
        <v>30</v>
      </c>
      <c r="Z81" s="3">
        <v>7689</v>
      </c>
      <c r="AA81">
        <f t="shared" si="1"/>
        <v>6920.1</v>
      </c>
    </row>
    <row r="82" spans="1:27" x14ac:dyDescent="0.35">
      <c r="A82" s="3">
        <v>81</v>
      </c>
      <c r="B82" s="3">
        <v>3</v>
      </c>
      <c r="C82" s="3" t="s">
        <v>125</v>
      </c>
      <c r="D82" s="3" t="s">
        <v>27</v>
      </c>
      <c r="E82" s="3" t="s">
        <v>52</v>
      </c>
      <c r="F82" s="3" t="s">
        <v>29</v>
      </c>
      <c r="G82" s="3" t="s">
        <v>38</v>
      </c>
      <c r="H82" s="3" t="s">
        <v>43</v>
      </c>
      <c r="I82" s="3" t="s">
        <v>32</v>
      </c>
      <c r="J82" s="3">
        <v>96.3</v>
      </c>
      <c r="K82" s="3">
        <v>173</v>
      </c>
      <c r="L82" s="3">
        <v>65.400000000000006</v>
      </c>
      <c r="M82" s="3">
        <v>49.4</v>
      </c>
      <c r="N82" s="3">
        <v>2370</v>
      </c>
      <c r="O82" s="3" t="s">
        <v>44</v>
      </c>
      <c r="P82" s="3" t="s">
        <v>34</v>
      </c>
      <c r="Q82" s="3">
        <v>110</v>
      </c>
      <c r="R82" s="3" t="s">
        <v>124</v>
      </c>
      <c r="S82" s="3">
        <v>3.17</v>
      </c>
      <c r="T82" s="3">
        <v>3.46</v>
      </c>
      <c r="U82" s="3">
        <v>7.5</v>
      </c>
      <c r="V82" s="3">
        <v>116</v>
      </c>
      <c r="W82" s="3">
        <v>5500</v>
      </c>
      <c r="X82" s="3">
        <v>23</v>
      </c>
      <c r="Y82" s="3">
        <v>30</v>
      </c>
      <c r="Z82" s="3">
        <v>9959</v>
      </c>
      <c r="AA82">
        <f t="shared" si="1"/>
        <v>8963.1</v>
      </c>
    </row>
    <row r="83" spans="1:27" x14ac:dyDescent="0.35">
      <c r="A83" s="3">
        <v>82</v>
      </c>
      <c r="B83" s="3">
        <v>3</v>
      </c>
      <c r="C83" s="3" t="s">
        <v>123</v>
      </c>
      <c r="D83" s="3" t="s">
        <v>27</v>
      </c>
      <c r="E83" s="3" t="s">
        <v>28</v>
      </c>
      <c r="F83" s="3" t="s">
        <v>29</v>
      </c>
      <c r="G83" s="3" t="s">
        <v>38</v>
      </c>
      <c r="H83" s="3" t="s">
        <v>43</v>
      </c>
      <c r="I83" s="3" t="s">
        <v>32</v>
      </c>
      <c r="J83" s="3">
        <v>96.3</v>
      </c>
      <c r="K83" s="3">
        <v>173</v>
      </c>
      <c r="L83" s="3">
        <v>65.400000000000006</v>
      </c>
      <c r="M83" s="3">
        <v>49.4</v>
      </c>
      <c r="N83" s="3">
        <v>2328</v>
      </c>
      <c r="O83" s="3" t="s">
        <v>44</v>
      </c>
      <c r="P83" s="3" t="s">
        <v>34</v>
      </c>
      <c r="Q83" s="3">
        <v>122</v>
      </c>
      <c r="R83" s="3" t="s">
        <v>63</v>
      </c>
      <c r="S83" s="3">
        <v>3.35</v>
      </c>
      <c r="T83" s="3">
        <v>3.46</v>
      </c>
      <c r="U83" s="3">
        <v>8.5</v>
      </c>
      <c r="V83" s="3">
        <v>88</v>
      </c>
      <c r="W83" s="3">
        <v>5000</v>
      </c>
      <c r="X83" s="3">
        <v>25</v>
      </c>
      <c r="Y83" s="3">
        <v>32</v>
      </c>
      <c r="Z83" s="3">
        <v>8499</v>
      </c>
      <c r="AA83">
        <f t="shared" si="1"/>
        <v>7649.1</v>
      </c>
    </row>
    <row r="84" spans="1:27" x14ac:dyDescent="0.35">
      <c r="A84" s="3">
        <v>83</v>
      </c>
      <c r="B84" s="3">
        <v>3</v>
      </c>
      <c r="C84" s="3" t="s">
        <v>122</v>
      </c>
      <c r="D84" s="3" t="s">
        <v>27</v>
      </c>
      <c r="E84" s="3" t="s">
        <v>52</v>
      </c>
      <c r="F84" s="3" t="s">
        <v>29</v>
      </c>
      <c r="G84" s="3" t="s">
        <v>38</v>
      </c>
      <c r="H84" s="3" t="s">
        <v>43</v>
      </c>
      <c r="I84" s="3" t="s">
        <v>32</v>
      </c>
      <c r="J84" s="3">
        <v>95.9</v>
      </c>
      <c r="K84" s="3">
        <v>173.2</v>
      </c>
      <c r="L84" s="3">
        <v>66.3</v>
      </c>
      <c r="M84" s="3">
        <v>50.2</v>
      </c>
      <c r="N84" s="3">
        <v>2833</v>
      </c>
      <c r="O84" s="3" t="s">
        <v>44</v>
      </c>
      <c r="P84" s="3" t="s">
        <v>34</v>
      </c>
      <c r="Q84" s="3">
        <v>156</v>
      </c>
      <c r="R84" s="3" t="s">
        <v>124</v>
      </c>
      <c r="S84" s="3">
        <v>3.58</v>
      </c>
      <c r="T84" s="3">
        <v>3.86</v>
      </c>
      <c r="U84" s="3">
        <v>7</v>
      </c>
      <c r="V84" s="3">
        <v>145</v>
      </c>
      <c r="W84" s="3">
        <v>5000</v>
      </c>
      <c r="X84" s="3">
        <v>19</v>
      </c>
      <c r="Y84" s="3">
        <v>24</v>
      </c>
      <c r="Z84" s="3">
        <v>12629</v>
      </c>
      <c r="AA84">
        <f t="shared" si="1"/>
        <v>11366.1</v>
      </c>
    </row>
    <row r="85" spans="1:27" x14ac:dyDescent="0.35">
      <c r="A85" s="3">
        <v>84</v>
      </c>
      <c r="B85" s="3">
        <v>3</v>
      </c>
      <c r="C85" s="3" t="s">
        <v>123</v>
      </c>
      <c r="D85" s="3" t="s">
        <v>27</v>
      </c>
      <c r="E85" s="3" t="s">
        <v>52</v>
      </c>
      <c r="F85" s="3" t="s">
        <v>29</v>
      </c>
      <c r="G85" s="3" t="s">
        <v>38</v>
      </c>
      <c r="H85" s="3" t="s">
        <v>43</v>
      </c>
      <c r="I85" s="3" t="s">
        <v>32</v>
      </c>
      <c r="J85" s="3">
        <v>95.9</v>
      </c>
      <c r="K85" s="3">
        <v>173.2</v>
      </c>
      <c r="L85" s="3">
        <v>66.3</v>
      </c>
      <c r="M85" s="3">
        <v>50.2</v>
      </c>
      <c r="N85" s="3">
        <v>2921</v>
      </c>
      <c r="O85" s="3" t="s">
        <v>44</v>
      </c>
      <c r="P85" s="3" t="s">
        <v>34</v>
      </c>
      <c r="Q85" s="3">
        <v>156</v>
      </c>
      <c r="R85" s="3" t="s">
        <v>124</v>
      </c>
      <c r="S85" s="3">
        <v>3.59</v>
      </c>
      <c r="T85" s="3">
        <v>3.86</v>
      </c>
      <c r="U85" s="3">
        <v>7</v>
      </c>
      <c r="V85" s="3">
        <v>145</v>
      </c>
      <c r="W85" s="3">
        <v>5000</v>
      </c>
      <c r="X85" s="3">
        <v>19</v>
      </c>
      <c r="Y85" s="3">
        <v>24</v>
      </c>
      <c r="Z85" s="3">
        <v>14869</v>
      </c>
      <c r="AA85">
        <f t="shared" si="1"/>
        <v>13382.1</v>
      </c>
    </row>
    <row r="86" spans="1:27" x14ac:dyDescent="0.35">
      <c r="A86" s="3">
        <v>85</v>
      </c>
      <c r="B86" s="3">
        <v>3</v>
      </c>
      <c r="C86" s="3" t="s">
        <v>125</v>
      </c>
      <c r="D86" s="3" t="s">
        <v>27</v>
      </c>
      <c r="E86" s="3" t="s">
        <v>52</v>
      </c>
      <c r="F86" s="3" t="s">
        <v>29</v>
      </c>
      <c r="G86" s="3" t="s">
        <v>38</v>
      </c>
      <c r="H86" s="3" t="s">
        <v>43</v>
      </c>
      <c r="I86" s="3" t="s">
        <v>32</v>
      </c>
      <c r="J86" s="3">
        <v>95.9</v>
      </c>
      <c r="K86" s="3">
        <v>173.2</v>
      </c>
      <c r="L86" s="3">
        <v>66.3</v>
      </c>
      <c r="M86" s="3">
        <v>50.2</v>
      </c>
      <c r="N86" s="3">
        <v>2926</v>
      </c>
      <c r="O86" s="3" t="s">
        <v>44</v>
      </c>
      <c r="P86" s="3" t="s">
        <v>34</v>
      </c>
      <c r="Q86" s="3">
        <v>156</v>
      </c>
      <c r="R86" s="3" t="s">
        <v>124</v>
      </c>
      <c r="S86" s="3">
        <v>3.59</v>
      </c>
      <c r="T86" s="3">
        <v>3.86</v>
      </c>
      <c r="U86" s="3">
        <v>7</v>
      </c>
      <c r="V86" s="3">
        <v>145</v>
      </c>
      <c r="W86" s="3">
        <v>5000</v>
      </c>
      <c r="X86" s="3">
        <v>19</v>
      </c>
      <c r="Y86" s="3">
        <v>24</v>
      </c>
      <c r="Z86" s="3">
        <v>14489</v>
      </c>
      <c r="AA86">
        <f t="shared" si="1"/>
        <v>13040.1</v>
      </c>
    </row>
    <row r="87" spans="1:27" x14ac:dyDescent="0.35">
      <c r="A87" s="3">
        <v>86</v>
      </c>
      <c r="B87" s="3">
        <v>1</v>
      </c>
      <c r="C87" s="3" t="s">
        <v>126</v>
      </c>
      <c r="D87" s="3" t="s">
        <v>27</v>
      </c>
      <c r="E87" s="3" t="s">
        <v>28</v>
      </c>
      <c r="F87" s="3" t="s">
        <v>34</v>
      </c>
      <c r="G87" s="3" t="s">
        <v>42</v>
      </c>
      <c r="H87" s="3" t="s">
        <v>43</v>
      </c>
      <c r="I87" s="3" t="s">
        <v>32</v>
      </c>
      <c r="J87" s="3">
        <v>96.3</v>
      </c>
      <c r="K87" s="3">
        <v>172.4</v>
      </c>
      <c r="L87" s="3">
        <v>65.400000000000006</v>
      </c>
      <c r="M87" s="3">
        <v>51.6</v>
      </c>
      <c r="N87" s="3">
        <v>2365</v>
      </c>
      <c r="O87" s="3" t="s">
        <v>44</v>
      </c>
      <c r="P87" s="3" t="s">
        <v>34</v>
      </c>
      <c r="Q87" s="3">
        <v>122</v>
      </c>
      <c r="R87" s="3" t="s">
        <v>63</v>
      </c>
      <c r="S87" s="3">
        <v>3.35</v>
      </c>
      <c r="T87" s="3">
        <v>3.46</v>
      </c>
      <c r="U87" s="3">
        <v>8.5</v>
      </c>
      <c r="V87" s="3">
        <v>88</v>
      </c>
      <c r="W87" s="3">
        <v>5000</v>
      </c>
      <c r="X87" s="3">
        <v>25</v>
      </c>
      <c r="Y87" s="3">
        <v>32</v>
      </c>
      <c r="Z87" s="3">
        <v>6989</v>
      </c>
      <c r="AA87">
        <f t="shared" si="1"/>
        <v>6290.1</v>
      </c>
    </row>
    <row r="88" spans="1:27" x14ac:dyDescent="0.35">
      <c r="A88" s="3">
        <v>87</v>
      </c>
      <c r="B88" s="3">
        <v>1</v>
      </c>
      <c r="C88" s="3" t="s">
        <v>127</v>
      </c>
      <c r="D88" s="3" t="s">
        <v>27</v>
      </c>
      <c r="E88" s="3" t="s">
        <v>28</v>
      </c>
      <c r="F88" s="3" t="s">
        <v>34</v>
      </c>
      <c r="G88" s="3" t="s">
        <v>42</v>
      </c>
      <c r="H88" s="3" t="s">
        <v>43</v>
      </c>
      <c r="I88" s="3" t="s">
        <v>32</v>
      </c>
      <c r="J88" s="3">
        <v>96.3</v>
      </c>
      <c r="K88" s="3">
        <v>172.4</v>
      </c>
      <c r="L88" s="3">
        <v>65.400000000000006</v>
      </c>
      <c r="M88" s="3">
        <v>51.6</v>
      </c>
      <c r="N88" s="3">
        <v>2405</v>
      </c>
      <c r="O88" s="3" t="s">
        <v>44</v>
      </c>
      <c r="P88" s="3" t="s">
        <v>34</v>
      </c>
      <c r="Q88" s="3">
        <v>122</v>
      </c>
      <c r="R88" s="3" t="s">
        <v>63</v>
      </c>
      <c r="S88" s="3">
        <v>3.35</v>
      </c>
      <c r="T88" s="3">
        <v>3.46</v>
      </c>
      <c r="U88" s="3">
        <v>8.5</v>
      </c>
      <c r="V88" s="3">
        <v>88</v>
      </c>
      <c r="W88" s="3">
        <v>5000</v>
      </c>
      <c r="X88" s="3">
        <v>25</v>
      </c>
      <c r="Y88" s="3">
        <v>32</v>
      </c>
      <c r="Z88" s="3">
        <v>8189</v>
      </c>
      <c r="AA88">
        <f t="shared" si="1"/>
        <v>7370.1</v>
      </c>
    </row>
    <row r="89" spans="1:27" x14ac:dyDescent="0.35">
      <c r="A89" s="3">
        <v>88</v>
      </c>
      <c r="B89" s="3">
        <v>1</v>
      </c>
      <c r="C89" s="3" t="s">
        <v>122</v>
      </c>
      <c r="D89" s="3" t="s">
        <v>27</v>
      </c>
      <c r="E89" s="3" t="s">
        <v>52</v>
      </c>
      <c r="F89" s="3" t="s">
        <v>34</v>
      </c>
      <c r="G89" s="3" t="s">
        <v>42</v>
      </c>
      <c r="H89" s="3" t="s">
        <v>43</v>
      </c>
      <c r="I89" s="3" t="s">
        <v>32</v>
      </c>
      <c r="J89" s="3">
        <v>96.3</v>
      </c>
      <c r="K89" s="3">
        <v>172.4</v>
      </c>
      <c r="L89" s="3">
        <v>65.400000000000006</v>
      </c>
      <c r="M89" s="3">
        <v>51.6</v>
      </c>
      <c r="N89" s="3">
        <v>2403</v>
      </c>
      <c r="O89" s="3" t="s">
        <v>44</v>
      </c>
      <c r="P89" s="3" t="s">
        <v>34</v>
      </c>
      <c r="Q89" s="3">
        <v>110</v>
      </c>
      <c r="R89" s="3" t="s">
        <v>124</v>
      </c>
      <c r="S89" s="3">
        <v>3.17</v>
      </c>
      <c r="T89" s="3">
        <v>3.46</v>
      </c>
      <c r="U89" s="3">
        <v>7.5</v>
      </c>
      <c r="V89" s="3">
        <v>116</v>
      </c>
      <c r="W89" s="3">
        <v>5500</v>
      </c>
      <c r="X89" s="3">
        <v>23</v>
      </c>
      <c r="Y89" s="3">
        <v>30</v>
      </c>
      <c r="Z89" s="3">
        <v>9279</v>
      </c>
      <c r="AA89">
        <f t="shared" si="1"/>
        <v>8351.1</v>
      </c>
    </row>
    <row r="90" spans="1:27" x14ac:dyDescent="0.35">
      <c r="A90" s="3">
        <v>89</v>
      </c>
      <c r="B90" s="3">
        <v>-1</v>
      </c>
      <c r="C90" s="3" t="s">
        <v>125</v>
      </c>
      <c r="D90" s="3" t="s">
        <v>27</v>
      </c>
      <c r="E90" s="3" t="s">
        <v>28</v>
      </c>
      <c r="F90" s="3" t="s">
        <v>34</v>
      </c>
      <c r="G90" s="3" t="s">
        <v>42</v>
      </c>
      <c r="H90" s="3" t="s">
        <v>43</v>
      </c>
      <c r="I90" s="3" t="s">
        <v>32</v>
      </c>
      <c r="J90" s="3">
        <v>96.3</v>
      </c>
      <c r="K90" s="3">
        <v>172.4</v>
      </c>
      <c r="L90" s="3">
        <v>65.400000000000006</v>
      </c>
      <c r="M90" s="3">
        <v>51.6</v>
      </c>
      <c r="N90" s="3">
        <v>2403</v>
      </c>
      <c r="O90" s="3" t="s">
        <v>44</v>
      </c>
      <c r="P90" s="3" t="s">
        <v>34</v>
      </c>
      <c r="Q90" s="3">
        <v>110</v>
      </c>
      <c r="R90" s="3" t="s">
        <v>124</v>
      </c>
      <c r="S90" s="3">
        <v>3.17</v>
      </c>
      <c r="T90" s="3">
        <v>3.46</v>
      </c>
      <c r="U90" s="3">
        <v>7.5</v>
      </c>
      <c r="V90" s="3">
        <v>116</v>
      </c>
      <c r="W90" s="3">
        <v>5500</v>
      </c>
      <c r="X90" s="3">
        <v>23</v>
      </c>
      <c r="Y90" s="3">
        <v>30</v>
      </c>
      <c r="Z90" s="3">
        <v>9279</v>
      </c>
      <c r="AA90">
        <f t="shared" si="1"/>
        <v>8351.1</v>
      </c>
    </row>
    <row r="91" spans="1:27" x14ac:dyDescent="0.35">
      <c r="A91" s="3">
        <v>90</v>
      </c>
      <c r="B91" s="3">
        <v>1</v>
      </c>
      <c r="C91" s="3" t="s">
        <v>128</v>
      </c>
      <c r="D91" s="3" t="s">
        <v>27</v>
      </c>
      <c r="E91" s="3" t="s">
        <v>28</v>
      </c>
      <c r="F91" s="3" t="s">
        <v>29</v>
      </c>
      <c r="G91" s="3" t="s">
        <v>42</v>
      </c>
      <c r="H91" s="3" t="s">
        <v>43</v>
      </c>
      <c r="I91" s="3" t="s">
        <v>32</v>
      </c>
      <c r="J91" s="3">
        <v>94.5</v>
      </c>
      <c r="K91" s="3">
        <v>165.3</v>
      </c>
      <c r="L91" s="3">
        <v>63.8</v>
      </c>
      <c r="M91" s="3">
        <v>54.5</v>
      </c>
      <c r="N91" s="3">
        <v>1889</v>
      </c>
      <c r="O91" s="3" t="s">
        <v>44</v>
      </c>
      <c r="P91" s="3" t="s">
        <v>34</v>
      </c>
      <c r="Q91" s="3">
        <v>97</v>
      </c>
      <c r="R91" s="3" t="s">
        <v>63</v>
      </c>
      <c r="S91" s="3">
        <v>3.15</v>
      </c>
      <c r="T91" s="3">
        <v>3.29</v>
      </c>
      <c r="U91" s="3">
        <v>9.4</v>
      </c>
      <c r="V91" s="3">
        <v>69</v>
      </c>
      <c r="W91" s="3">
        <v>5200</v>
      </c>
      <c r="X91" s="3">
        <v>31</v>
      </c>
      <c r="Y91" s="3">
        <v>37</v>
      </c>
      <c r="Z91" s="3">
        <v>5499</v>
      </c>
      <c r="AA91">
        <f t="shared" si="1"/>
        <v>4949.1000000000004</v>
      </c>
    </row>
    <row r="92" spans="1:27" x14ac:dyDescent="0.35">
      <c r="A92" s="3">
        <v>91</v>
      </c>
      <c r="B92" s="3">
        <v>1</v>
      </c>
      <c r="C92" s="3" t="s">
        <v>129</v>
      </c>
      <c r="D92" s="3" t="s">
        <v>107</v>
      </c>
      <c r="E92" s="3" t="s">
        <v>28</v>
      </c>
      <c r="F92" s="3" t="s">
        <v>29</v>
      </c>
      <c r="G92" s="3" t="s">
        <v>42</v>
      </c>
      <c r="H92" s="3" t="s">
        <v>43</v>
      </c>
      <c r="I92" s="3" t="s">
        <v>32</v>
      </c>
      <c r="J92" s="3">
        <v>94.5</v>
      </c>
      <c r="K92" s="3">
        <v>165.3</v>
      </c>
      <c r="L92" s="3">
        <v>63.8</v>
      </c>
      <c r="M92" s="3">
        <v>54.5</v>
      </c>
      <c r="N92" s="3">
        <v>2017</v>
      </c>
      <c r="O92" s="3" t="s">
        <v>44</v>
      </c>
      <c r="P92" s="3" t="s">
        <v>34</v>
      </c>
      <c r="Q92" s="3">
        <v>103</v>
      </c>
      <c r="R92" s="3" t="s">
        <v>108</v>
      </c>
      <c r="S92" s="3">
        <v>2.99</v>
      </c>
      <c r="T92" s="3">
        <v>3.47</v>
      </c>
      <c r="U92" s="3">
        <v>21.9</v>
      </c>
      <c r="V92" s="3">
        <v>55</v>
      </c>
      <c r="W92" s="3">
        <v>4800</v>
      </c>
      <c r="X92" s="3">
        <v>45</v>
      </c>
      <c r="Y92" s="3">
        <v>50</v>
      </c>
      <c r="Z92" s="3">
        <v>7099</v>
      </c>
      <c r="AA92">
        <f t="shared" si="1"/>
        <v>6389.1</v>
      </c>
    </row>
    <row r="93" spans="1:27" x14ac:dyDescent="0.35">
      <c r="A93" s="3">
        <v>92</v>
      </c>
      <c r="B93" s="3">
        <v>1</v>
      </c>
      <c r="C93" s="3" t="s">
        <v>130</v>
      </c>
      <c r="D93" s="3" t="s">
        <v>27</v>
      </c>
      <c r="E93" s="3" t="s">
        <v>28</v>
      </c>
      <c r="F93" s="3" t="s">
        <v>29</v>
      </c>
      <c r="G93" s="3" t="s">
        <v>42</v>
      </c>
      <c r="H93" s="3" t="s">
        <v>43</v>
      </c>
      <c r="I93" s="3" t="s">
        <v>32</v>
      </c>
      <c r="J93" s="3">
        <v>94.5</v>
      </c>
      <c r="K93" s="3">
        <v>165.3</v>
      </c>
      <c r="L93" s="3">
        <v>63.8</v>
      </c>
      <c r="M93" s="3">
        <v>54.5</v>
      </c>
      <c r="N93" s="3">
        <v>1918</v>
      </c>
      <c r="O93" s="3" t="s">
        <v>44</v>
      </c>
      <c r="P93" s="3" t="s">
        <v>34</v>
      </c>
      <c r="Q93" s="3">
        <v>97</v>
      </c>
      <c r="R93" s="3" t="s">
        <v>63</v>
      </c>
      <c r="S93" s="3">
        <v>3.15</v>
      </c>
      <c r="T93" s="3">
        <v>3.29</v>
      </c>
      <c r="U93" s="3">
        <v>9.4</v>
      </c>
      <c r="V93" s="3">
        <v>69</v>
      </c>
      <c r="W93" s="3">
        <v>5200</v>
      </c>
      <c r="X93" s="3">
        <v>31</v>
      </c>
      <c r="Y93" s="3">
        <v>37</v>
      </c>
      <c r="Z93" s="3">
        <v>6649</v>
      </c>
      <c r="AA93">
        <f t="shared" si="1"/>
        <v>5984.1</v>
      </c>
    </row>
    <row r="94" spans="1:27" x14ac:dyDescent="0.35">
      <c r="A94" s="3">
        <v>93</v>
      </c>
      <c r="B94" s="3">
        <v>1</v>
      </c>
      <c r="C94" s="3" t="s">
        <v>131</v>
      </c>
      <c r="D94" s="3" t="s">
        <v>27</v>
      </c>
      <c r="E94" s="3" t="s">
        <v>28</v>
      </c>
      <c r="F94" s="3" t="s">
        <v>34</v>
      </c>
      <c r="G94" s="3" t="s">
        <v>42</v>
      </c>
      <c r="H94" s="3" t="s">
        <v>43</v>
      </c>
      <c r="I94" s="3" t="s">
        <v>32</v>
      </c>
      <c r="J94" s="3">
        <v>94.5</v>
      </c>
      <c r="K94" s="3">
        <v>165.3</v>
      </c>
      <c r="L94" s="3">
        <v>63.8</v>
      </c>
      <c r="M94" s="3">
        <v>54.5</v>
      </c>
      <c r="N94" s="3">
        <v>1938</v>
      </c>
      <c r="O94" s="3" t="s">
        <v>44</v>
      </c>
      <c r="P94" s="3" t="s">
        <v>34</v>
      </c>
      <c r="Q94" s="3">
        <v>97</v>
      </c>
      <c r="R94" s="3" t="s">
        <v>63</v>
      </c>
      <c r="S94" s="3">
        <v>3.15</v>
      </c>
      <c r="T94" s="3">
        <v>3.29</v>
      </c>
      <c r="U94" s="3">
        <v>9.4</v>
      </c>
      <c r="V94" s="3">
        <v>69</v>
      </c>
      <c r="W94" s="3">
        <v>5200</v>
      </c>
      <c r="X94" s="3">
        <v>31</v>
      </c>
      <c r="Y94" s="3">
        <v>37</v>
      </c>
      <c r="Z94" s="3">
        <v>6849</v>
      </c>
      <c r="AA94">
        <f t="shared" si="1"/>
        <v>6164.1</v>
      </c>
    </row>
    <row r="95" spans="1:27" x14ac:dyDescent="0.35">
      <c r="A95" s="3">
        <v>94</v>
      </c>
      <c r="B95" s="3">
        <v>1</v>
      </c>
      <c r="C95" s="3" t="s">
        <v>132</v>
      </c>
      <c r="D95" s="3" t="s">
        <v>27</v>
      </c>
      <c r="E95" s="3" t="s">
        <v>28</v>
      </c>
      <c r="F95" s="3" t="s">
        <v>34</v>
      </c>
      <c r="G95" s="3" t="s">
        <v>50</v>
      </c>
      <c r="H95" s="3" t="s">
        <v>43</v>
      </c>
      <c r="I95" s="3" t="s">
        <v>32</v>
      </c>
      <c r="J95" s="3">
        <v>94.5</v>
      </c>
      <c r="K95" s="3">
        <v>170.2</v>
      </c>
      <c r="L95" s="3">
        <v>63.8</v>
      </c>
      <c r="M95" s="3">
        <v>53.5</v>
      </c>
      <c r="N95" s="3">
        <v>2024</v>
      </c>
      <c r="O95" s="3" t="s">
        <v>44</v>
      </c>
      <c r="P95" s="3" t="s">
        <v>34</v>
      </c>
      <c r="Q95" s="3">
        <v>97</v>
      </c>
      <c r="R95" s="3" t="s">
        <v>63</v>
      </c>
      <c r="S95" s="3">
        <v>3.15</v>
      </c>
      <c r="T95" s="3">
        <v>3.29</v>
      </c>
      <c r="U95" s="3">
        <v>9.4</v>
      </c>
      <c r="V95" s="3">
        <v>69</v>
      </c>
      <c r="W95" s="3">
        <v>5200</v>
      </c>
      <c r="X95" s="3">
        <v>31</v>
      </c>
      <c r="Y95" s="3">
        <v>37</v>
      </c>
      <c r="Z95" s="3">
        <v>7349</v>
      </c>
      <c r="AA95">
        <f t="shared" si="1"/>
        <v>6614.1</v>
      </c>
    </row>
    <row r="96" spans="1:27" x14ac:dyDescent="0.35">
      <c r="A96" s="3">
        <v>95</v>
      </c>
      <c r="B96" s="3">
        <v>1</v>
      </c>
      <c r="C96" s="3" t="s">
        <v>133</v>
      </c>
      <c r="D96" s="3" t="s">
        <v>27</v>
      </c>
      <c r="E96" s="3" t="s">
        <v>28</v>
      </c>
      <c r="F96" s="3" t="s">
        <v>29</v>
      </c>
      <c r="G96" s="3" t="s">
        <v>42</v>
      </c>
      <c r="H96" s="3" t="s">
        <v>43</v>
      </c>
      <c r="I96" s="3" t="s">
        <v>32</v>
      </c>
      <c r="J96" s="3">
        <v>94.5</v>
      </c>
      <c r="K96" s="3">
        <v>165.3</v>
      </c>
      <c r="L96" s="3">
        <v>63.8</v>
      </c>
      <c r="M96" s="3">
        <v>54.5</v>
      </c>
      <c r="N96" s="3">
        <v>1951</v>
      </c>
      <c r="O96" s="3" t="s">
        <v>44</v>
      </c>
      <c r="P96" s="3" t="s">
        <v>34</v>
      </c>
      <c r="Q96" s="3">
        <v>97</v>
      </c>
      <c r="R96" s="3" t="s">
        <v>63</v>
      </c>
      <c r="S96" s="3">
        <v>3.15</v>
      </c>
      <c r="T96" s="3">
        <v>3.29</v>
      </c>
      <c r="U96" s="3">
        <v>9.4</v>
      </c>
      <c r="V96" s="3">
        <v>69</v>
      </c>
      <c r="W96" s="3">
        <v>5200</v>
      </c>
      <c r="X96" s="3">
        <v>31</v>
      </c>
      <c r="Y96" s="3">
        <v>37</v>
      </c>
      <c r="Z96" s="3">
        <v>7299</v>
      </c>
      <c r="AA96">
        <f t="shared" si="1"/>
        <v>6569.1</v>
      </c>
    </row>
    <row r="97" spans="1:27" x14ac:dyDescent="0.35">
      <c r="A97" s="3">
        <v>96</v>
      </c>
      <c r="B97" s="3">
        <v>1</v>
      </c>
      <c r="C97" s="3" t="s">
        <v>134</v>
      </c>
      <c r="D97" s="3" t="s">
        <v>27</v>
      </c>
      <c r="E97" s="3" t="s">
        <v>28</v>
      </c>
      <c r="F97" s="3" t="s">
        <v>29</v>
      </c>
      <c r="G97" s="3" t="s">
        <v>38</v>
      </c>
      <c r="H97" s="3" t="s">
        <v>43</v>
      </c>
      <c r="I97" s="3" t="s">
        <v>32</v>
      </c>
      <c r="J97" s="3">
        <v>94.5</v>
      </c>
      <c r="K97" s="3">
        <v>165.6</v>
      </c>
      <c r="L97" s="3">
        <v>63.8</v>
      </c>
      <c r="M97" s="3">
        <v>53.3</v>
      </c>
      <c r="N97" s="3">
        <v>2028</v>
      </c>
      <c r="O97" s="3" t="s">
        <v>44</v>
      </c>
      <c r="P97" s="3" t="s">
        <v>34</v>
      </c>
      <c r="Q97" s="3">
        <v>97</v>
      </c>
      <c r="R97" s="3" t="s">
        <v>63</v>
      </c>
      <c r="S97" s="3">
        <v>3.15</v>
      </c>
      <c r="T97" s="3">
        <v>3.29</v>
      </c>
      <c r="U97" s="3">
        <v>9.4</v>
      </c>
      <c r="V97" s="3">
        <v>69</v>
      </c>
      <c r="W97" s="3">
        <v>5200</v>
      </c>
      <c r="X97" s="3">
        <v>31</v>
      </c>
      <c r="Y97" s="3">
        <v>37</v>
      </c>
      <c r="Z97" s="3">
        <v>7799</v>
      </c>
      <c r="AA97">
        <f t="shared" si="1"/>
        <v>7019.1</v>
      </c>
    </row>
    <row r="98" spans="1:27" x14ac:dyDescent="0.35">
      <c r="A98" s="3">
        <v>97</v>
      </c>
      <c r="B98" s="3">
        <v>1</v>
      </c>
      <c r="C98" s="3" t="s">
        <v>131</v>
      </c>
      <c r="D98" s="3" t="s">
        <v>27</v>
      </c>
      <c r="E98" s="3" t="s">
        <v>28</v>
      </c>
      <c r="F98" s="3" t="s">
        <v>34</v>
      </c>
      <c r="G98" s="3" t="s">
        <v>42</v>
      </c>
      <c r="H98" s="3" t="s">
        <v>43</v>
      </c>
      <c r="I98" s="3" t="s">
        <v>32</v>
      </c>
      <c r="J98" s="3">
        <v>94.5</v>
      </c>
      <c r="K98" s="3">
        <v>165.3</v>
      </c>
      <c r="L98" s="3">
        <v>63.8</v>
      </c>
      <c r="M98" s="3">
        <v>54.5</v>
      </c>
      <c r="N98" s="3">
        <v>1971</v>
      </c>
      <c r="O98" s="3" t="s">
        <v>44</v>
      </c>
      <c r="P98" s="3" t="s">
        <v>34</v>
      </c>
      <c r="Q98" s="3">
        <v>97</v>
      </c>
      <c r="R98" s="3" t="s">
        <v>63</v>
      </c>
      <c r="S98" s="3">
        <v>3.15</v>
      </c>
      <c r="T98" s="3">
        <v>3.29</v>
      </c>
      <c r="U98" s="3">
        <v>9.4</v>
      </c>
      <c r="V98" s="3">
        <v>69</v>
      </c>
      <c r="W98" s="3">
        <v>5200</v>
      </c>
      <c r="X98" s="3">
        <v>31</v>
      </c>
      <c r="Y98" s="3">
        <v>37</v>
      </c>
      <c r="Z98" s="3">
        <v>7499</v>
      </c>
      <c r="AA98">
        <f t="shared" si="1"/>
        <v>6749.1</v>
      </c>
    </row>
    <row r="99" spans="1:27" x14ac:dyDescent="0.35">
      <c r="A99" s="3">
        <v>98</v>
      </c>
      <c r="B99" s="3">
        <v>1</v>
      </c>
      <c r="C99" s="3" t="s">
        <v>135</v>
      </c>
      <c r="D99" s="3" t="s">
        <v>27</v>
      </c>
      <c r="E99" s="3" t="s">
        <v>28</v>
      </c>
      <c r="F99" s="3" t="s">
        <v>34</v>
      </c>
      <c r="G99" s="3" t="s">
        <v>50</v>
      </c>
      <c r="H99" s="3" t="s">
        <v>43</v>
      </c>
      <c r="I99" s="3" t="s">
        <v>32</v>
      </c>
      <c r="J99" s="3">
        <v>94.5</v>
      </c>
      <c r="K99" s="3">
        <v>170.2</v>
      </c>
      <c r="L99" s="3">
        <v>63.8</v>
      </c>
      <c r="M99" s="3">
        <v>53.5</v>
      </c>
      <c r="N99" s="3">
        <v>2037</v>
      </c>
      <c r="O99" s="3" t="s">
        <v>44</v>
      </c>
      <c r="P99" s="3" t="s">
        <v>34</v>
      </c>
      <c r="Q99" s="3">
        <v>97</v>
      </c>
      <c r="R99" s="3" t="s">
        <v>63</v>
      </c>
      <c r="S99" s="3">
        <v>3.15</v>
      </c>
      <c r="T99" s="3">
        <v>3.29</v>
      </c>
      <c r="U99" s="3">
        <v>9.4</v>
      </c>
      <c r="V99" s="3">
        <v>69</v>
      </c>
      <c r="W99" s="3">
        <v>5200</v>
      </c>
      <c r="X99" s="3">
        <v>31</v>
      </c>
      <c r="Y99" s="3">
        <v>37</v>
      </c>
      <c r="Z99" s="3">
        <v>7999</v>
      </c>
      <c r="AA99">
        <f t="shared" si="1"/>
        <v>7199.1</v>
      </c>
    </row>
    <row r="100" spans="1:27" x14ac:dyDescent="0.35">
      <c r="A100" s="3">
        <v>99</v>
      </c>
      <c r="B100" s="3">
        <v>2</v>
      </c>
      <c r="C100" s="3" t="s">
        <v>136</v>
      </c>
      <c r="D100" s="3" t="s">
        <v>27</v>
      </c>
      <c r="E100" s="3" t="s">
        <v>28</v>
      </c>
      <c r="F100" s="3" t="s">
        <v>29</v>
      </c>
      <c r="G100" s="3" t="s">
        <v>112</v>
      </c>
      <c r="H100" s="3" t="s">
        <v>43</v>
      </c>
      <c r="I100" s="3" t="s">
        <v>32</v>
      </c>
      <c r="J100" s="3">
        <v>95.1</v>
      </c>
      <c r="K100" s="3">
        <v>162.4</v>
      </c>
      <c r="L100" s="3">
        <v>63.8</v>
      </c>
      <c r="M100" s="3">
        <v>53.3</v>
      </c>
      <c r="N100" s="3">
        <v>2008</v>
      </c>
      <c r="O100" s="3" t="s">
        <v>44</v>
      </c>
      <c r="P100" s="3" t="s">
        <v>34</v>
      </c>
      <c r="Q100" s="3">
        <v>97</v>
      </c>
      <c r="R100" s="3" t="s">
        <v>63</v>
      </c>
      <c r="S100" s="3">
        <v>3.15</v>
      </c>
      <c r="T100" s="3">
        <v>3.29</v>
      </c>
      <c r="U100" s="3">
        <v>9.4</v>
      </c>
      <c r="V100" s="3">
        <v>69</v>
      </c>
      <c r="W100" s="3">
        <v>5200</v>
      </c>
      <c r="X100" s="3">
        <v>31</v>
      </c>
      <c r="Y100" s="3">
        <v>37</v>
      </c>
      <c r="Z100" s="3">
        <v>8249</v>
      </c>
      <c r="AA100">
        <f t="shared" si="1"/>
        <v>7424.1</v>
      </c>
    </row>
    <row r="101" spans="1:27" x14ac:dyDescent="0.35">
      <c r="A101" s="3">
        <v>100</v>
      </c>
      <c r="B101" s="3">
        <v>0</v>
      </c>
      <c r="C101" s="3" t="s">
        <v>130</v>
      </c>
      <c r="D101" s="3" t="s">
        <v>27</v>
      </c>
      <c r="E101" s="3" t="s">
        <v>28</v>
      </c>
      <c r="F101" s="3" t="s">
        <v>34</v>
      </c>
      <c r="G101" s="3" t="s">
        <v>38</v>
      </c>
      <c r="H101" s="3" t="s">
        <v>43</v>
      </c>
      <c r="I101" s="3" t="s">
        <v>32</v>
      </c>
      <c r="J101" s="3">
        <v>97.2</v>
      </c>
      <c r="K101" s="3">
        <v>173.4</v>
      </c>
      <c r="L101" s="3">
        <v>65.2</v>
      </c>
      <c r="M101" s="3">
        <v>54.7</v>
      </c>
      <c r="N101" s="3">
        <v>2324</v>
      </c>
      <c r="O101" s="3" t="s">
        <v>44</v>
      </c>
      <c r="P101" s="3" t="s">
        <v>34</v>
      </c>
      <c r="Q101" s="3">
        <v>120</v>
      </c>
      <c r="R101" s="3" t="s">
        <v>63</v>
      </c>
      <c r="S101" s="3">
        <v>3.33</v>
      </c>
      <c r="T101" s="3">
        <v>3.47</v>
      </c>
      <c r="U101" s="3">
        <v>8.5</v>
      </c>
      <c r="V101" s="3">
        <v>97</v>
      </c>
      <c r="W101" s="3">
        <v>5200</v>
      </c>
      <c r="X101" s="3">
        <v>27</v>
      </c>
      <c r="Y101" s="3">
        <v>34</v>
      </c>
      <c r="Z101" s="3">
        <v>8949</v>
      </c>
      <c r="AA101">
        <f t="shared" si="1"/>
        <v>8054.1</v>
      </c>
    </row>
    <row r="102" spans="1:27" x14ac:dyDescent="0.35">
      <c r="A102" s="3">
        <v>101</v>
      </c>
      <c r="B102" s="3">
        <v>0</v>
      </c>
      <c r="C102" s="3" t="s">
        <v>137</v>
      </c>
      <c r="D102" s="3" t="s">
        <v>27</v>
      </c>
      <c r="E102" s="3" t="s">
        <v>28</v>
      </c>
      <c r="F102" s="3" t="s">
        <v>34</v>
      </c>
      <c r="G102" s="3" t="s">
        <v>42</v>
      </c>
      <c r="H102" s="3" t="s">
        <v>43</v>
      </c>
      <c r="I102" s="3" t="s">
        <v>32</v>
      </c>
      <c r="J102" s="3">
        <v>97.2</v>
      </c>
      <c r="K102" s="3">
        <v>173.4</v>
      </c>
      <c r="L102" s="3">
        <v>65.2</v>
      </c>
      <c r="M102" s="3">
        <v>54.7</v>
      </c>
      <c r="N102" s="3">
        <v>2302</v>
      </c>
      <c r="O102" s="3" t="s">
        <v>44</v>
      </c>
      <c r="P102" s="3" t="s">
        <v>34</v>
      </c>
      <c r="Q102" s="3">
        <v>120</v>
      </c>
      <c r="R102" s="3" t="s">
        <v>63</v>
      </c>
      <c r="S102" s="3">
        <v>3.33</v>
      </c>
      <c r="T102" s="3">
        <v>3.47</v>
      </c>
      <c r="U102" s="3">
        <v>8.5</v>
      </c>
      <c r="V102" s="3">
        <v>97</v>
      </c>
      <c r="W102" s="3">
        <v>5200</v>
      </c>
      <c r="X102" s="3">
        <v>27</v>
      </c>
      <c r="Y102" s="3">
        <v>34</v>
      </c>
      <c r="Z102" s="3">
        <v>9549</v>
      </c>
      <c r="AA102">
        <f t="shared" si="1"/>
        <v>8594.1</v>
      </c>
    </row>
    <row r="103" spans="1:27" x14ac:dyDescent="0.35">
      <c r="A103" s="3">
        <v>102</v>
      </c>
      <c r="B103" s="3">
        <v>0</v>
      </c>
      <c r="C103" s="3" t="s">
        <v>138</v>
      </c>
      <c r="D103" s="3" t="s">
        <v>27</v>
      </c>
      <c r="E103" s="3" t="s">
        <v>28</v>
      </c>
      <c r="F103" s="3" t="s">
        <v>34</v>
      </c>
      <c r="G103" s="3" t="s">
        <v>42</v>
      </c>
      <c r="H103" s="3" t="s">
        <v>43</v>
      </c>
      <c r="I103" s="3" t="s">
        <v>32</v>
      </c>
      <c r="J103" s="3">
        <v>100.4</v>
      </c>
      <c r="K103" s="3">
        <v>181.7</v>
      </c>
      <c r="L103" s="3">
        <v>66.5</v>
      </c>
      <c r="M103" s="3">
        <v>55.1</v>
      </c>
      <c r="N103" s="3">
        <v>3095</v>
      </c>
      <c r="O103" s="3" t="s">
        <v>39</v>
      </c>
      <c r="P103" s="3" t="s">
        <v>40</v>
      </c>
      <c r="Q103" s="3">
        <v>181</v>
      </c>
      <c r="R103" s="3" t="s">
        <v>35</v>
      </c>
      <c r="S103" s="3">
        <v>3.43</v>
      </c>
      <c r="T103" s="3">
        <v>3.27</v>
      </c>
      <c r="U103" s="3">
        <v>9</v>
      </c>
      <c r="V103" s="3">
        <v>152</v>
      </c>
      <c r="W103" s="3">
        <v>5200</v>
      </c>
      <c r="X103" s="3">
        <v>17</v>
      </c>
      <c r="Y103" s="3">
        <v>22</v>
      </c>
      <c r="Z103" s="3">
        <v>13499</v>
      </c>
      <c r="AA103">
        <f t="shared" si="1"/>
        <v>12149.1</v>
      </c>
    </row>
    <row r="104" spans="1:27" x14ac:dyDescent="0.35">
      <c r="A104" s="3">
        <v>103</v>
      </c>
      <c r="B104" s="3">
        <v>0</v>
      </c>
      <c r="C104" s="3" t="s">
        <v>139</v>
      </c>
      <c r="D104" s="3" t="s">
        <v>27</v>
      </c>
      <c r="E104" s="3" t="s">
        <v>28</v>
      </c>
      <c r="F104" s="3" t="s">
        <v>34</v>
      </c>
      <c r="G104" s="3" t="s">
        <v>50</v>
      </c>
      <c r="H104" s="3" t="s">
        <v>43</v>
      </c>
      <c r="I104" s="3" t="s">
        <v>32</v>
      </c>
      <c r="J104" s="3">
        <v>100.4</v>
      </c>
      <c r="K104" s="3">
        <v>184.6</v>
      </c>
      <c r="L104" s="3">
        <v>66.5</v>
      </c>
      <c r="M104" s="3">
        <v>56.1</v>
      </c>
      <c r="N104" s="3">
        <v>3296</v>
      </c>
      <c r="O104" s="3" t="s">
        <v>39</v>
      </c>
      <c r="P104" s="3" t="s">
        <v>40</v>
      </c>
      <c r="Q104" s="3">
        <v>181</v>
      </c>
      <c r="R104" s="3" t="s">
        <v>35</v>
      </c>
      <c r="S104" s="3">
        <v>3.43</v>
      </c>
      <c r="T104" s="3">
        <v>3.27</v>
      </c>
      <c r="U104" s="3">
        <v>9</v>
      </c>
      <c r="V104" s="3">
        <v>152</v>
      </c>
      <c r="W104" s="3">
        <v>5200</v>
      </c>
      <c r="X104" s="3">
        <v>17</v>
      </c>
      <c r="Y104" s="3">
        <v>22</v>
      </c>
      <c r="Z104" s="3">
        <v>14399</v>
      </c>
      <c r="AA104">
        <f t="shared" si="1"/>
        <v>12959.1</v>
      </c>
    </row>
    <row r="105" spans="1:27" x14ac:dyDescent="0.35">
      <c r="A105" s="3">
        <v>104</v>
      </c>
      <c r="B105" s="3">
        <v>0</v>
      </c>
      <c r="C105" s="3" t="s">
        <v>140</v>
      </c>
      <c r="D105" s="3" t="s">
        <v>27</v>
      </c>
      <c r="E105" s="3" t="s">
        <v>28</v>
      </c>
      <c r="F105" s="3" t="s">
        <v>34</v>
      </c>
      <c r="G105" s="3" t="s">
        <v>42</v>
      </c>
      <c r="H105" s="3" t="s">
        <v>43</v>
      </c>
      <c r="I105" s="3" t="s">
        <v>32</v>
      </c>
      <c r="J105" s="3">
        <v>100.4</v>
      </c>
      <c r="K105" s="3">
        <v>184.6</v>
      </c>
      <c r="L105" s="3">
        <v>66.5</v>
      </c>
      <c r="M105" s="3">
        <v>55.1</v>
      </c>
      <c r="N105" s="3">
        <v>3060</v>
      </c>
      <c r="O105" s="3" t="s">
        <v>39</v>
      </c>
      <c r="P105" s="3" t="s">
        <v>40</v>
      </c>
      <c r="Q105" s="3">
        <v>181</v>
      </c>
      <c r="R105" s="3" t="s">
        <v>35</v>
      </c>
      <c r="S105" s="3">
        <v>3.43</v>
      </c>
      <c r="T105" s="3">
        <v>3.27</v>
      </c>
      <c r="U105" s="3">
        <v>9</v>
      </c>
      <c r="V105" s="3">
        <v>152</v>
      </c>
      <c r="W105" s="3">
        <v>5200</v>
      </c>
      <c r="X105" s="3">
        <v>19</v>
      </c>
      <c r="Y105" s="3">
        <v>25</v>
      </c>
      <c r="Z105" s="3">
        <v>13499</v>
      </c>
      <c r="AA105">
        <f t="shared" si="1"/>
        <v>12149.1</v>
      </c>
    </row>
    <row r="106" spans="1:27" x14ac:dyDescent="0.35">
      <c r="A106" s="3">
        <v>105</v>
      </c>
      <c r="B106" s="3">
        <v>3</v>
      </c>
      <c r="C106" s="3" t="s">
        <v>141</v>
      </c>
      <c r="D106" s="3" t="s">
        <v>27</v>
      </c>
      <c r="E106" s="3" t="s">
        <v>28</v>
      </c>
      <c r="F106" s="3" t="s">
        <v>29</v>
      </c>
      <c r="G106" s="3" t="s">
        <v>38</v>
      </c>
      <c r="H106" s="3" t="s">
        <v>31</v>
      </c>
      <c r="I106" s="3" t="s">
        <v>32</v>
      </c>
      <c r="J106" s="3">
        <v>91.3</v>
      </c>
      <c r="K106" s="3">
        <v>170.7</v>
      </c>
      <c r="L106" s="3">
        <v>67.900000000000006</v>
      </c>
      <c r="M106" s="3">
        <v>49.7</v>
      </c>
      <c r="N106" s="3">
        <v>3071</v>
      </c>
      <c r="O106" s="3" t="s">
        <v>39</v>
      </c>
      <c r="P106" s="3" t="s">
        <v>40</v>
      </c>
      <c r="Q106" s="3">
        <v>181</v>
      </c>
      <c r="R106" s="3" t="s">
        <v>35</v>
      </c>
      <c r="S106" s="3">
        <v>3.43</v>
      </c>
      <c r="T106" s="3">
        <v>3.27</v>
      </c>
      <c r="U106" s="3">
        <v>9</v>
      </c>
      <c r="V106" s="3">
        <v>160</v>
      </c>
      <c r="W106" s="3">
        <v>5200</v>
      </c>
      <c r="X106" s="3">
        <v>19</v>
      </c>
      <c r="Y106" s="3">
        <v>25</v>
      </c>
      <c r="Z106" s="3">
        <v>17199</v>
      </c>
      <c r="AA106">
        <f t="shared" si="1"/>
        <v>15479.1</v>
      </c>
    </row>
    <row r="107" spans="1:27" x14ac:dyDescent="0.35">
      <c r="A107" s="3">
        <v>106</v>
      </c>
      <c r="B107" s="3">
        <v>3</v>
      </c>
      <c r="C107" s="3" t="s">
        <v>142</v>
      </c>
      <c r="D107" s="3" t="s">
        <v>27</v>
      </c>
      <c r="E107" s="3" t="s">
        <v>52</v>
      </c>
      <c r="F107" s="3" t="s">
        <v>29</v>
      </c>
      <c r="G107" s="3" t="s">
        <v>38</v>
      </c>
      <c r="H107" s="3" t="s">
        <v>31</v>
      </c>
      <c r="I107" s="3" t="s">
        <v>32</v>
      </c>
      <c r="J107" s="3">
        <v>91.3</v>
      </c>
      <c r="K107" s="3">
        <v>170.7</v>
      </c>
      <c r="L107" s="3">
        <v>67.900000000000006</v>
      </c>
      <c r="M107" s="3">
        <v>49.7</v>
      </c>
      <c r="N107" s="3">
        <v>3139</v>
      </c>
      <c r="O107" s="3" t="s">
        <v>39</v>
      </c>
      <c r="P107" s="3" t="s">
        <v>40</v>
      </c>
      <c r="Q107" s="3">
        <v>181</v>
      </c>
      <c r="R107" s="3" t="s">
        <v>35</v>
      </c>
      <c r="S107" s="3">
        <v>3.43</v>
      </c>
      <c r="T107" s="3">
        <v>3.27</v>
      </c>
      <c r="U107" s="3">
        <v>7.8</v>
      </c>
      <c r="V107" s="3">
        <v>200</v>
      </c>
      <c r="W107" s="3">
        <v>5200</v>
      </c>
      <c r="X107" s="3">
        <v>17</v>
      </c>
      <c r="Y107" s="3">
        <v>23</v>
      </c>
      <c r="Z107" s="3">
        <v>19699</v>
      </c>
      <c r="AA107">
        <f t="shared" si="1"/>
        <v>17729.100000000002</v>
      </c>
    </row>
    <row r="108" spans="1:27" x14ac:dyDescent="0.35">
      <c r="A108" s="3">
        <v>107</v>
      </c>
      <c r="B108" s="3">
        <v>1</v>
      </c>
      <c r="C108" s="3" t="s">
        <v>136</v>
      </c>
      <c r="D108" s="3" t="s">
        <v>27</v>
      </c>
      <c r="E108" s="3" t="s">
        <v>28</v>
      </c>
      <c r="F108" s="3" t="s">
        <v>29</v>
      </c>
      <c r="G108" s="3" t="s">
        <v>38</v>
      </c>
      <c r="H108" s="3" t="s">
        <v>31</v>
      </c>
      <c r="I108" s="3" t="s">
        <v>32</v>
      </c>
      <c r="J108" s="3">
        <v>99.2</v>
      </c>
      <c r="K108" s="3">
        <v>178.5</v>
      </c>
      <c r="L108" s="3">
        <v>67.900000000000006</v>
      </c>
      <c r="M108" s="3">
        <v>49.7</v>
      </c>
      <c r="N108" s="3">
        <v>3139</v>
      </c>
      <c r="O108" s="3" t="s">
        <v>39</v>
      </c>
      <c r="P108" s="3" t="s">
        <v>40</v>
      </c>
      <c r="Q108" s="3">
        <v>181</v>
      </c>
      <c r="R108" s="3" t="s">
        <v>35</v>
      </c>
      <c r="S108" s="3">
        <v>3.43</v>
      </c>
      <c r="T108" s="3">
        <v>3.27</v>
      </c>
      <c r="U108" s="3">
        <v>9</v>
      </c>
      <c r="V108" s="3">
        <v>160</v>
      </c>
      <c r="W108" s="3">
        <v>5200</v>
      </c>
      <c r="X108" s="3">
        <v>19</v>
      </c>
      <c r="Y108" s="3">
        <v>25</v>
      </c>
      <c r="Z108" s="3">
        <v>18399</v>
      </c>
      <c r="AA108">
        <f t="shared" si="1"/>
        <v>16559.100000000002</v>
      </c>
    </row>
    <row r="109" spans="1:27" x14ac:dyDescent="0.35">
      <c r="A109" s="3">
        <v>108</v>
      </c>
      <c r="B109" s="3">
        <v>0</v>
      </c>
      <c r="C109" s="3" t="s">
        <v>143</v>
      </c>
      <c r="D109" s="3" t="s">
        <v>27</v>
      </c>
      <c r="E109" s="3" t="s">
        <v>28</v>
      </c>
      <c r="F109" s="3" t="s">
        <v>34</v>
      </c>
      <c r="G109" s="3" t="s">
        <v>42</v>
      </c>
      <c r="H109" s="3" t="s">
        <v>31</v>
      </c>
      <c r="I109" s="3" t="s">
        <v>32</v>
      </c>
      <c r="J109" s="3">
        <v>107.9</v>
      </c>
      <c r="K109" s="3">
        <v>186.7</v>
      </c>
      <c r="L109" s="3">
        <v>68.400000000000006</v>
      </c>
      <c r="M109" s="3">
        <v>56.7</v>
      </c>
      <c r="N109" s="3">
        <v>3020</v>
      </c>
      <c r="O109" s="3" t="s">
        <v>61</v>
      </c>
      <c r="P109" s="3" t="s">
        <v>34</v>
      </c>
      <c r="Q109" s="3">
        <v>120</v>
      </c>
      <c r="R109" s="3" t="s">
        <v>35</v>
      </c>
      <c r="S109" s="3">
        <v>3.46</v>
      </c>
      <c r="T109" s="3">
        <v>3.19</v>
      </c>
      <c r="U109" s="3">
        <v>8.4</v>
      </c>
      <c r="V109" s="3">
        <v>97</v>
      </c>
      <c r="W109" s="3">
        <v>5000</v>
      </c>
      <c r="X109" s="3">
        <v>19</v>
      </c>
      <c r="Y109" s="3">
        <v>24</v>
      </c>
      <c r="Z109" s="3">
        <v>11900</v>
      </c>
      <c r="AA109">
        <f t="shared" si="1"/>
        <v>10710</v>
      </c>
    </row>
    <row r="110" spans="1:27" x14ac:dyDescent="0.35">
      <c r="A110" s="3">
        <v>109</v>
      </c>
      <c r="B110" s="3">
        <v>0</v>
      </c>
      <c r="C110" s="3" t="s">
        <v>144</v>
      </c>
      <c r="D110" s="3" t="s">
        <v>107</v>
      </c>
      <c r="E110" s="3" t="s">
        <v>52</v>
      </c>
      <c r="F110" s="3" t="s">
        <v>34</v>
      </c>
      <c r="G110" s="3" t="s">
        <v>42</v>
      </c>
      <c r="H110" s="3" t="s">
        <v>31</v>
      </c>
      <c r="I110" s="3" t="s">
        <v>32</v>
      </c>
      <c r="J110" s="3">
        <v>107.9</v>
      </c>
      <c r="K110" s="3">
        <v>186.7</v>
      </c>
      <c r="L110" s="3">
        <v>68.400000000000006</v>
      </c>
      <c r="M110" s="3">
        <v>56.7</v>
      </c>
      <c r="N110" s="3">
        <v>3197</v>
      </c>
      <c r="O110" s="3" t="s">
        <v>61</v>
      </c>
      <c r="P110" s="3" t="s">
        <v>34</v>
      </c>
      <c r="Q110" s="3">
        <v>152</v>
      </c>
      <c r="R110" s="3" t="s">
        <v>108</v>
      </c>
      <c r="S110" s="3">
        <v>3.7</v>
      </c>
      <c r="T110" s="3">
        <v>3.52</v>
      </c>
      <c r="U110" s="3">
        <v>21</v>
      </c>
      <c r="V110" s="3">
        <v>95</v>
      </c>
      <c r="W110" s="3">
        <v>4150</v>
      </c>
      <c r="X110" s="3">
        <v>28</v>
      </c>
      <c r="Y110" s="3">
        <v>33</v>
      </c>
      <c r="Z110" s="3">
        <v>13200</v>
      </c>
      <c r="AA110">
        <f t="shared" si="1"/>
        <v>11880</v>
      </c>
    </row>
    <row r="111" spans="1:27" x14ac:dyDescent="0.35">
      <c r="A111" s="3">
        <v>110</v>
      </c>
      <c r="B111" s="3">
        <v>0</v>
      </c>
      <c r="C111" s="3" t="s">
        <v>145</v>
      </c>
      <c r="D111" s="3" t="s">
        <v>27</v>
      </c>
      <c r="E111" s="3" t="s">
        <v>28</v>
      </c>
      <c r="F111" s="3" t="s">
        <v>34</v>
      </c>
      <c r="G111" s="3" t="s">
        <v>50</v>
      </c>
      <c r="H111" s="3" t="s">
        <v>31</v>
      </c>
      <c r="I111" s="3" t="s">
        <v>32</v>
      </c>
      <c r="J111" s="3">
        <v>114.2</v>
      </c>
      <c r="K111" s="3">
        <v>198.9</v>
      </c>
      <c r="L111" s="3">
        <v>68.400000000000006</v>
      </c>
      <c r="M111" s="3">
        <v>58.7</v>
      </c>
      <c r="N111" s="3">
        <v>3230</v>
      </c>
      <c r="O111" s="3" t="s">
        <v>61</v>
      </c>
      <c r="P111" s="3" t="s">
        <v>34</v>
      </c>
      <c r="Q111" s="3">
        <v>120</v>
      </c>
      <c r="R111" s="3" t="s">
        <v>35</v>
      </c>
      <c r="S111" s="3">
        <v>3.46</v>
      </c>
      <c r="T111" s="3">
        <v>3.19</v>
      </c>
      <c r="U111" s="3">
        <v>8.4</v>
      </c>
      <c r="V111" s="3">
        <v>97</v>
      </c>
      <c r="W111" s="3">
        <v>5000</v>
      </c>
      <c r="X111" s="3">
        <v>19</v>
      </c>
      <c r="Y111" s="3">
        <v>24</v>
      </c>
      <c r="Z111" s="3">
        <v>12440</v>
      </c>
      <c r="AA111">
        <f t="shared" si="1"/>
        <v>11196</v>
      </c>
    </row>
    <row r="112" spans="1:27" x14ac:dyDescent="0.35">
      <c r="A112" s="3">
        <v>111</v>
      </c>
      <c r="B112" s="3">
        <v>0</v>
      </c>
      <c r="C112" s="3" t="s">
        <v>143</v>
      </c>
      <c r="D112" s="3" t="s">
        <v>107</v>
      </c>
      <c r="E112" s="3" t="s">
        <v>52</v>
      </c>
      <c r="F112" s="3" t="s">
        <v>34</v>
      </c>
      <c r="G112" s="3" t="s">
        <v>50</v>
      </c>
      <c r="H112" s="3" t="s">
        <v>31</v>
      </c>
      <c r="I112" s="3" t="s">
        <v>32</v>
      </c>
      <c r="J112" s="3">
        <v>114.2</v>
      </c>
      <c r="K112" s="3">
        <v>198.9</v>
      </c>
      <c r="L112" s="3">
        <v>68.400000000000006</v>
      </c>
      <c r="M112" s="3">
        <v>58.7</v>
      </c>
      <c r="N112" s="3">
        <v>3430</v>
      </c>
      <c r="O112" s="3" t="s">
        <v>61</v>
      </c>
      <c r="P112" s="3" t="s">
        <v>34</v>
      </c>
      <c r="Q112" s="3">
        <v>152</v>
      </c>
      <c r="R112" s="3" t="s">
        <v>108</v>
      </c>
      <c r="S112" s="3">
        <v>3.7</v>
      </c>
      <c r="T112" s="3">
        <v>3.52</v>
      </c>
      <c r="U112" s="3">
        <v>21</v>
      </c>
      <c r="V112" s="3">
        <v>95</v>
      </c>
      <c r="W112" s="3">
        <v>4150</v>
      </c>
      <c r="X112" s="3">
        <v>25</v>
      </c>
      <c r="Y112" s="3">
        <v>25</v>
      </c>
      <c r="Z112" s="3">
        <v>13860</v>
      </c>
      <c r="AA112">
        <f t="shared" si="1"/>
        <v>12474</v>
      </c>
    </row>
    <row r="113" spans="1:27" x14ac:dyDescent="0.35">
      <c r="A113" s="3">
        <v>112</v>
      </c>
      <c r="B113" s="3">
        <v>0</v>
      </c>
      <c r="C113" s="3" t="s">
        <v>143</v>
      </c>
      <c r="D113" s="3" t="s">
        <v>27</v>
      </c>
      <c r="E113" s="3" t="s">
        <v>28</v>
      </c>
      <c r="F113" s="3" t="s">
        <v>34</v>
      </c>
      <c r="G113" s="3" t="s">
        <v>42</v>
      </c>
      <c r="H113" s="3" t="s">
        <v>31</v>
      </c>
      <c r="I113" s="3" t="s">
        <v>32</v>
      </c>
      <c r="J113" s="3">
        <v>107.9</v>
      </c>
      <c r="K113" s="3">
        <v>186.7</v>
      </c>
      <c r="L113" s="3">
        <v>68.400000000000006</v>
      </c>
      <c r="M113" s="3">
        <v>56.7</v>
      </c>
      <c r="N113" s="3">
        <v>3075</v>
      </c>
      <c r="O113" s="3" t="s">
        <v>61</v>
      </c>
      <c r="P113" s="3" t="s">
        <v>34</v>
      </c>
      <c r="Q113" s="3">
        <v>120</v>
      </c>
      <c r="R113" s="3" t="s">
        <v>35</v>
      </c>
      <c r="S113" s="3">
        <v>3.46</v>
      </c>
      <c r="T113" s="3">
        <v>2.19</v>
      </c>
      <c r="U113" s="3">
        <v>8.4</v>
      </c>
      <c r="V113" s="3">
        <v>95</v>
      </c>
      <c r="W113" s="3">
        <v>5000</v>
      </c>
      <c r="X113" s="3">
        <v>19</v>
      </c>
      <c r="Y113" s="3">
        <v>24</v>
      </c>
      <c r="Z113" s="3">
        <v>15580</v>
      </c>
      <c r="AA113">
        <f t="shared" si="1"/>
        <v>14022</v>
      </c>
    </row>
    <row r="114" spans="1:27" x14ac:dyDescent="0.35">
      <c r="A114" s="3">
        <v>113</v>
      </c>
      <c r="B114" s="3">
        <v>0</v>
      </c>
      <c r="C114" s="3" t="s">
        <v>146</v>
      </c>
      <c r="D114" s="3" t="s">
        <v>107</v>
      </c>
      <c r="E114" s="3" t="s">
        <v>52</v>
      </c>
      <c r="F114" s="3" t="s">
        <v>34</v>
      </c>
      <c r="G114" s="3" t="s">
        <v>42</v>
      </c>
      <c r="H114" s="3" t="s">
        <v>31</v>
      </c>
      <c r="I114" s="3" t="s">
        <v>32</v>
      </c>
      <c r="J114" s="3">
        <v>107.9</v>
      </c>
      <c r="K114" s="3">
        <v>186.7</v>
      </c>
      <c r="L114" s="3">
        <v>68.400000000000006</v>
      </c>
      <c r="M114" s="3">
        <v>56.7</v>
      </c>
      <c r="N114" s="3">
        <v>3252</v>
      </c>
      <c r="O114" s="3" t="s">
        <v>61</v>
      </c>
      <c r="P114" s="3" t="s">
        <v>34</v>
      </c>
      <c r="Q114" s="3">
        <v>152</v>
      </c>
      <c r="R114" s="3" t="s">
        <v>108</v>
      </c>
      <c r="S114" s="3">
        <v>3.7</v>
      </c>
      <c r="T114" s="3">
        <v>3.52</v>
      </c>
      <c r="U114" s="3">
        <v>21</v>
      </c>
      <c r="V114" s="3">
        <v>95</v>
      </c>
      <c r="W114" s="3">
        <v>4150</v>
      </c>
      <c r="X114" s="3">
        <v>28</v>
      </c>
      <c r="Y114" s="3">
        <v>33</v>
      </c>
      <c r="Z114" s="3">
        <v>16900</v>
      </c>
      <c r="AA114">
        <f t="shared" si="1"/>
        <v>15210</v>
      </c>
    </row>
    <row r="115" spans="1:27" x14ac:dyDescent="0.35">
      <c r="A115" s="3">
        <v>114</v>
      </c>
      <c r="B115" s="3">
        <v>0</v>
      </c>
      <c r="C115" s="3" t="s">
        <v>143</v>
      </c>
      <c r="D115" s="3" t="s">
        <v>27</v>
      </c>
      <c r="E115" s="3" t="s">
        <v>28</v>
      </c>
      <c r="F115" s="3" t="s">
        <v>34</v>
      </c>
      <c r="G115" s="3" t="s">
        <v>50</v>
      </c>
      <c r="H115" s="3" t="s">
        <v>31</v>
      </c>
      <c r="I115" s="3" t="s">
        <v>32</v>
      </c>
      <c r="J115" s="3">
        <v>114.2</v>
      </c>
      <c r="K115" s="3">
        <v>198.9</v>
      </c>
      <c r="L115" s="3">
        <v>68.400000000000006</v>
      </c>
      <c r="M115" s="3">
        <v>56.7</v>
      </c>
      <c r="N115" s="3">
        <v>3285</v>
      </c>
      <c r="O115" s="3" t="s">
        <v>61</v>
      </c>
      <c r="P115" s="3" t="s">
        <v>34</v>
      </c>
      <c r="Q115" s="3">
        <v>120</v>
      </c>
      <c r="R115" s="3" t="s">
        <v>35</v>
      </c>
      <c r="S115" s="3">
        <v>3.46</v>
      </c>
      <c r="T115" s="3">
        <v>2.19</v>
      </c>
      <c r="U115" s="3">
        <v>8.4</v>
      </c>
      <c r="V115" s="3">
        <v>95</v>
      </c>
      <c r="W115" s="3">
        <v>5000</v>
      </c>
      <c r="X115" s="3">
        <v>19</v>
      </c>
      <c r="Y115" s="3">
        <v>24</v>
      </c>
      <c r="Z115" s="3">
        <v>16695</v>
      </c>
      <c r="AA115">
        <f t="shared" si="1"/>
        <v>15025.5</v>
      </c>
    </row>
    <row r="116" spans="1:27" x14ac:dyDescent="0.35">
      <c r="A116" s="3">
        <v>115</v>
      </c>
      <c r="B116" s="3">
        <v>0</v>
      </c>
      <c r="C116" s="3" t="s">
        <v>147</v>
      </c>
      <c r="D116" s="3" t="s">
        <v>107</v>
      </c>
      <c r="E116" s="3" t="s">
        <v>52</v>
      </c>
      <c r="F116" s="3" t="s">
        <v>34</v>
      </c>
      <c r="G116" s="3" t="s">
        <v>50</v>
      </c>
      <c r="H116" s="3" t="s">
        <v>31</v>
      </c>
      <c r="I116" s="3" t="s">
        <v>32</v>
      </c>
      <c r="J116" s="3">
        <v>114.2</v>
      </c>
      <c r="K116" s="3">
        <v>198.9</v>
      </c>
      <c r="L116" s="3">
        <v>68.400000000000006</v>
      </c>
      <c r="M116" s="3">
        <v>58.7</v>
      </c>
      <c r="N116" s="3">
        <v>3485</v>
      </c>
      <c r="O116" s="3" t="s">
        <v>61</v>
      </c>
      <c r="P116" s="3" t="s">
        <v>34</v>
      </c>
      <c r="Q116" s="3">
        <v>152</v>
      </c>
      <c r="R116" s="3" t="s">
        <v>108</v>
      </c>
      <c r="S116" s="3">
        <v>3.7</v>
      </c>
      <c r="T116" s="3">
        <v>3.52</v>
      </c>
      <c r="U116" s="3">
        <v>21</v>
      </c>
      <c r="V116" s="3">
        <v>95</v>
      </c>
      <c r="W116" s="3">
        <v>4150</v>
      </c>
      <c r="X116" s="3">
        <v>25</v>
      </c>
      <c r="Y116" s="3">
        <v>25</v>
      </c>
      <c r="Z116" s="3">
        <v>17075</v>
      </c>
      <c r="AA116">
        <f t="shared" si="1"/>
        <v>15367.5</v>
      </c>
    </row>
    <row r="117" spans="1:27" x14ac:dyDescent="0.35">
      <c r="A117" s="3">
        <v>116</v>
      </c>
      <c r="B117" s="3">
        <v>0</v>
      </c>
      <c r="C117" s="3" t="s">
        <v>143</v>
      </c>
      <c r="D117" s="3" t="s">
        <v>27</v>
      </c>
      <c r="E117" s="3" t="s">
        <v>28</v>
      </c>
      <c r="F117" s="3" t="s">
        <v>34</v>
      </c>
      <c r="G117" s="3" t="s">
        <v>42</v>
      </c>
      <c r="H117" s="3" t="s">
        <v>31</v>
      </c>
      <c r="I117" s="3" t="s">
        <v>32</v>
      </c>
      <c r="J117" s="3">
        <v>107.9</v>
      </c>
      <c r="K117" s="3">
        <v>186.7</v>
      </c>
      <c r="L117" s="3">
        <v>68.400000000000006</v>
      </c>
      <c r="M117" s="3">
        <v>56.7</v>
      </c>
      <c r="N117" s="3">
        <v>3075</v>
      </c>
      <c r="O117" s="3" t="s">
        <v>61</v>
      </c>
      <c r="P117" s="3" t="s">
        <v>34</v>
      </c>
      <c r="Q117" s="3">
        <v>120</v>
      </c>
      <c r="R117" s="3" t="s">
        <v>35</v>
      </c>
      <c r="S117" s="3">
        <v>3.46</v>
      </c>
      <c r="T117" s="3">
        <v>3.19</v>
      </c>
      <c r="U117" s="3">
        <v>8.4</v>
      </c>
      <c r="V117" s="3">
        <v>97</v>
      </c>
      <c r="W117" s="3">
        <v>5000</v>
      </c>
      <c r="X117" s="3">
        <v>19</v>
      </c>
      <c r="Y117" s="3">
        <v>24</v>
      </c>
      <c r="Z117" s="3">
        <v>16630</v>
      </c>
      <c r="AA117">
        <f t="shared" si="1"/>
        <v>14967</v>
      </c>
    </row>
    <row r="118" spans="1:27" x14ac:dyDescent="0.35">
      <c r="A118" s="3">
        <v>117</v>
      </c>
      <c r="B118" s="3">
        <v>0</v>
      </c>
      <c r="C118" s="3" t="s">
        <v>143</v>
      </c>
      <c r="D118" s="3" t="s">
        <v>107</v>
      </c>
      <c r="E118" s="3" t="s">
        <v>52</v>
      </c>
      <c r="F118" s="3" t="s">
        <v>34</v>
      </c>
      <c r="G118" s="3" t="s">
        <v>42</v>
      </c>
      <c r="H118" s="3" t="s">
        <v>31</v>
      </c>
      <c r="I118" s="3" t="s">
        <v>32</v>
      </c>
      <c r="J118" s="3">
        <v>107.9</v>
      </c>
      <c r="K118" s="3">
        <v>186.7</v>
      </c>
      <c r="L118" s="3">
        <v>68.400000000000006</v>
      </c>
      <c r="M118" s="3">
        <v>56.7</v>
      </c>
      <c r="N118" s="3">
        <v>3252</v>
      </c>
      <c r="O118" s="3" t="s">
        <v>61</v>
      </c>
      <c r="P118" s="3" t="s">
        <v>34</v>
      </c>
      <c r="Q118" s="3">
        <v>152</v>
      </c>
      <c r="R118" s="3" t="s">
        <v>108</v>
      </c>
      <c r="S118" s="3">
        <v>3.7</v>
      </c>
      <c r="T118" s="3">
        <v>3.52</v>
      </c>
      <c r="U118" s="3">
        <v>21</v>
      </c>
      <c r="V118" s="3">
        <v>95</v>
      </c>
      <c r="W118" s="3">
        <v>4150</v>
      </c>
      <c r="X118" s="3">
        <v>28</v>
      </c>
      <c r="Y118" s="3">
        <v>33</v>
      </c>
      <c r="Z118" s="3">
        <v>17950</v>
      </c>
      <c r="AA118">
        <f t="shared" si="1"/>
        <v>16155</v>
      </c>
    </row>
    <row r="119" spans="1:27" x14ac:dyDescent="0.35">
      <c r="A119" s="3">
        <v>118</v>
      </c>
      <c r="B119" s="3">
        <v>0</v>
      </c>
      <c r="C119" s="3" t="s">
        <v>146</v>
      </c>
      <c r="D119" s="3" t="s">
        <v>27</v>
      </c>
      <c r="E119" s="3" t="s">
        <v>52</v>
      </c>
      <c r="F119" s="3" t="s">
        <v>34</v>
      </c>
      <c r="G119" s="3" t="s">
        <v>42</v>
      </c>
      <c r="H119" s="3" t="s">
        <v>31</v>
      </c>
      <c r="I119" s="3" t="s">
        <v>32</v>
      </c>
      <c r="J119" s="3">
        <v>108</v>
      </c>
      <c r="K119" s="3">
        <v>186.7</v>
      </c>
      <c r="L119" s="3">
        <v>68.3</v>
      </c>
      <c r="M119" s="3">
        <v>56</v>
      </c>
      <c r="N119" s="3">
        <v>3130</v>
      </c>
      <c r="O119" s="3" t="s">
        <v>61</v>
      </c>
      <c r="P119" s="3" t="s">
        <v>34</v>
      </c>
      <c r="Q119" s="3">
        <v>134</v>
      </c>
      <c r="R119" s="3" t="s">
        <v>35</v>
      </c>
      <c r="S119" s="3">
        <v>3.61</v>
      </c>
      <c r="T119" s="3">
        <v>3.21</v>
      </c>
      <c r="U119" s="3">
        <v>7</v>
      </c>
      <c r="V119" s="3">
        <v>142</v>
      </c>
      <c r="W119" s="3">
        <v>5600</v>
      </c>
      <c r="X119" s="3">
        <v>18</v>
      </c>
      <c r="Y119" s="3">
        <v>24</v>
      </c>
      <c r="Z119" s="3">
        <v>18150</v>
      </c>
      <c r="AA119">
        <f t="shared" si="1"/>
        <v>16335</v>
      </c>
    </row>
    <row r="120" spans="1:27" x14ac:dyDescent="0.35">
      <c r="A120" s="3">
        <v>119</v>
      </c>
      <c r="B120" s="3">
        <v>1</v>
      </c>
      <c r="C120" s="3" t="s">
        <v>148</v>
      </c>
      <c r="D120" s="3" t="s">
        <v>27</v>
      </c>
      <c r="E120" s="3" t="s">
        <v>28</v>
      </c>
      <c r="F120" s="3" t="s">
        <v>29</v>
      </c>
      <c r="G120" s="3" t="s">
        <v>38</v>
      </c>
      <c r="H120" s="3" t="s">
        <v>43</v>
      </c>
      <c r="I120" s="3" t="s">
        <v>32</v>
      </c>
      <c r="J120" s="3">
        <v>93.7</v>
      </c>
      <c r="K120" s="3">
        <v>157.30000000000001</v>
      </c>
      <c r="L120" s="3">
        <v>63.8</v>
      </c>
      <c r="M120" s="3">
        <v>50.8</v>
      </c>
      <c r="N120" s="3">
        <v>1918</v>
      </c>
      <c r="O120" s="3" t="s">
        <v>44</v>
      </c>
      <c r="P120" s="3" t="s">
        <v>34</v>
      </c>
      <c r="Q120" s="3">
        <v>90</v>
      </c>
      <c r="R120" s="3" t="s">
        <v>63</v>
      </c>
      <c r="S120" s="3">
        <v>2.97</v>
      </c>
      <c r="T120" s="3">
        <v>3.23</v>
      </c>
      <c r="U120" s="3">
        <v>9.4</v>
      </c>
      <c r="V120" s="3">
        <v>68</v>
      </c>
      <c r="W120" s="3">
        <v>5500</v>
      </c>
      <c r="X120" s="3">
        <v>37</v>
      </c>
      <c r="Y120" s="3">
        <v>41</v>
      </c>
      <c r="Z120" s="3">
        <v>5572</v>
      </c>
      <c r="AA120">
        <f t="shared" si="1"/>
        <v>5014.8</v>
      </c>
    </row>
    <row r="121" spans="1:27" x14ac:dyDescent="0.35">
      <c r="A121" s="3">
        <v>120</v>
      </c>
      <c r="B121" s="3">
        <v>1</v>
      </c>
      <c r="C121" s="3" t="s">
        <v>149</v>
      </c>
      <c r="D121" s="3" t="s">
        <v>27</v>
      </c>
      <c r="E121" s="3" t="s">
        <v>52</v>
      </c>
      <c r="F121" s="3" t="s">
        <v>29</v>
      </c>
      <c r="G121" s="3" t="s">
        <v>38</v>
      </c>
      <c r="H121" s="3" t="s">
        <v>43</v>
      </c>
      <c r="I121" s="3" t="s">
        <v>32</v>
      </c>
      <c r="J121" s="3">
        <v>93.7</v>
      </c>
      <c r="K121" s="3">
        <v>157.30000000000001</v>
      </c>
      <c r="L121" s="3">
        <v>63.8</v>
      </c>
      <c r="M121" s="3">
        <v>50.8</v>
      </c>
      <c r="N121" s="3">
        <v>2128</v>
      </c>
      <c r="O121" s="3" t="s">
        <v>44</v>
      </c>
      <c r="P121" s="3" t="s">
        <v>34</v>
      </c>
      <c r="Q121" s="3">
        <v>98</v>
      </c>
      <c r="R121" s="3" t="s">
        <v>124</v>
      </c>
      <c r="S121" s="3">
        <v>3.03</v>
      </c>
      <c r="T121" s="3">
        <v>3.39</v>
      </c>
      <c r="U121" s="3">
        <v>7.6</v>
      </c>
      <c r="V121" s="3">
        <v>102</v>
      </c>
      <c r="W121" s="3">
        <v>5500</v>
      </c>
      <c r="X121" s="3">
        <v>24</v>
      </c>
      <c r="Y121" s="3">
        <v>30</v>
      </c>
      <c r="Z121" s="3">
        <v>7957</v>
      </c>
      <c r="AA121">
        <f t="shared" si="1"/>
        <v>7161.3</v>
      </c>
    </row>
    <row r="122" spans="1:27" x14ac:dyDescent="0.35">
      <c r="A122" s="3">
        <v>121</v>
      </c>
      <c r="B122" s="3">
        <v>1</v>
      </c>
      <c r="C122" s="3" t="s">
        <v>148</v>
      </c>
      <c r="D122" s="3" t="s">
        <v>27</v>
      </c>
      <c r="E122" s="3" t="s">
        <v>28</v>
      </c>
      <c r="F122" s="3" t="s">
        <v>34</v>
      </c>
      <c r="G122" s="3" t="s">
        <v>38</v>
      </c>
      <c r="H122" s="3" t="s">
        <v>43</v>
      </c>
      <c r="I122" s="3" t="s">
        <v>32</v>
      </c>
      <c r="J122" s="3">
        <v>93.7</v>
      </c>
      <c r="K122" s="3">
        <v>157.30000000000001</v>
      </c>
      <c r="L122" s="3">
        <v>63.8</v>
      </c>
      <c r="M122" s="3">
        <v>50.6</v>
      </c>
      <c r="N122" s="3">
        <v>1967</v>
      </c>
      <c r="O122" s="3" t="s">
        <v>44</v>
      </c>
      <c r="P122" s="3" t="s">
        <v>34</v>
      </c>
      <c r="Q122" s="3">
        <v>90</v>
      </c>
      <c r="R122" s="3" t="s">
        <v>63</v>
      </c>
      <c r="S122" s="3">
        <v>2.97</v>
      </c>
      <c r="T122" s="3">
        <v>3.23</v>
      </c>
      <c r="U122" s="3">
        <v>9.4</v>
      </c>
      <c r="V122" s="3">
        <v>68</v>
      </c>
      <c r="W122" s="3">
        <v>5500</v>
      </c>
      <c r="X122" s="3">
        <v>31</v>
      </c>
      <c r="Y122" s="3">
        <v>38</v>
      </c>
      <c r="Z122" s="3">
        <v>6229</v>
      </c>
      <c r="AA122">
        <f t="shared" si="1"/>
        <v>5606.1</v>
      </c>
    </row>
    <row r="123" spans="1:27" x14ac:dyDescent="0.35">
      <c r="A123" s="3">
        <v>122</v>
      </c>
      <c r="B123" s="3">
        <v>1</v>
      </c>
      <c r="C123" s="3" t="s">
        <v>150</v>
      </c>
      <c r="D123" s="3" t="s">
        <v>27</v>
      </c>
      <c r="E123" s="3" t="s">
        <v>28</v>
      </c>
      <c r="F123" s="3" t="s">
        <v>34</v>
      </c>
      <c r="G123" s="3" t="s">
        <v>42</v>
      </c>
      <c r="H123" s="3" t="s">
        <v>43</v>
      </c>
      <c r="I123" s="3" t="s">
        <v>32</v>
      </c>
      <c r="J123" s="3">
        <v>93.7</v>
      </c>
      <c r="K123" s="3">
        <v>167.3</v>
      </c>
      <c r="L123" s="3">
        <v>63.8</v>
      </c>
      <c r="M123" s="3">
        <v>50.8</v>
      </c>
      <c r="N123" s="3">
        <v>1989</v>
      </c>
      <c r="O123" s="3" t="s">
        <v>44</v>
      </c>
      <c r="P123" s="3" t="s">
        <v>34</v>
      </c>
      <c r="Q123" s="3">
        <v>90</v>
      </c>
      <c r="R123" s="3" t="s">
        <v>63</v>
      </c>
      <c r="S123" s="3">
        <v>2.97</v>
      </c>
      <c r="T123" s="3">
        <v>3.23</v>
      </c>
      <c r="U123" s="3">
        <v>9.4</v>
      </c>
      <c r="V123" s="3">
        <v>68</v>
      </c>
      <c r="W123" s="3">
        <v>5500</v>
      </c>
      <c r="X123" s="3">
        <v>31</v>
      </c>
      <c r="Y123" s="3">
        <v>38</v>
      </c>
      <c r="Z123" s="3">
        <v>6692</v>
      </c>
      <c r="AA123">
        <f t="shared" si="1"/>
        <v>6022.8</v>
      </c>
    </row>
    <row r="124" spans="1:27" x14ac:dyDescent="0.35">
      <c r="A124" s="3">
        <v>123</v>
      </c>
      <c r="B124" s="3">
        <v>1</v>
      </c>
      <c r="C124" s="3" t="s">
        <v>151</v>
      </c>
      <c r="D124" s="3" t="s">
        <v>27</v>
      </c>
      <c r="E124" s="3" t="s">
        <v>28</v>
      </c>
      <c r="F124" s="3" t="s">
        <v>34</v>
      </c>
      <c r="G124" s="3" t="s">
        <v>42</v>
      </c>
      <c r="H124" s="3" t="s">
        <v>43</v>
      </c>
      <c r="I124" s="3" t="s">
        <v>32</v>
      </c>
      <c r="J124" s="3">
        <v>93.7</v>
      </c>
      <c r="K124" s="3">
        <v>167.3</v>
      </c>
      <c r="L124" s="3">
        <v>63.8</v>
      </c>
      <c r="M124" s="3">
        <v>50.8</v>
      </c>
      <c r="N124" s="3">
        <v>2191</v>
      </c>
      <c r="O124" s="3" t="s">
        <v>44</v>
      </c>
      <c r="P124" s="3" t="s">
        <v>34</v>
      </c>
      <c r="Q124" s="3">
        <v>98</v>
      </c>
      <c r="R124" s="3" t="s">
        <v>63</v>
      </c>
      <c r="S124" s="3">
        <v>2.97</v>
      </c>
      <c r="T124" s="3">
        <v>3.23</v>
      </c>
      <c r="U124" s="3">
        <v>9.4</v>
      </c>
      <c r="V124" s="3">
        <v>68</v>
      </c>
      <c r="W124" s="3">
        <v>5500</v>
      </c>
      <c r="X124" s="3">
        <v>31</v>
      </c>
      <c r="Y124" s="3">
        <v>38</v>
      </c>
      <c r="Z124" s="3">
        <v>7609</v>
      </c>
      <c r="AA124">
        <f t="shared" si="1"/>
        <v>6848.1</v>
      </c>
    </row>
    <row r="125" spans="1:27" x14ac:dyDescent="0.35">
      <c r="A125" s="3">
        <v>124</v>
      </c>
      <c r="B125" s="3">
        <v>-1</v>
      </c>
      <c r="C125" s="3" t="s">
        <v>152</v>
      </c>
      <c r="D125" s="3" t="s">
        <v>27</v>
      </c>
      <c r="E125" s="3" t="s">
        <v>28</v>
      </c>
      <c r="F125" s="3" t="s">
        <v>34</v>
      </c>
      <c r="G125" s="3" t="s">
        <v>50</v>
      </c>
      <c r="H125" s="3" t="s">
        <v>43</v>
      </c>
      <c r="I125" s="3" t="s">
        <v>32</v>
      </c>
      <c r="J125" s="3">
        <v>103.3</v>
      </c>
      <c r="K125" s="3">
        <v>174.6</v>
      </c>
      <c r="L125" s="3">
        <v>64.599999999999994</v>
      </c>
      <c r="M125" s="3">
        <v>59.8</v>
      </c>
      <c r="N125" s="3">
        <v>2535</v>
      </c>
      <c r="O125" s="3" t="s">
        <v>44</v>
      </c>
      <c r="P125" s="3" t="s">
        <v>34</v>
      </c>
      <c r="Q125" s="3">
        <v>122</v>
      </c>
      <c r="R125" s="3" t="s">
        <v>63</v>
      </c>
      <c r="S125" s="3">
        <v>3.35</v>
      </c>
      <c r="T125" s="3">
        <v>3.46</v>
      </c>
      <c r="U125" s="3">
        <v>8.5</v>
      </c>
      <c r="V125" s="3">
        <v>88</v>
      </c>
      <c r="W125" s="3">
        <v>5000</v>
      </c>
      <c r="X125" s="3">
        <v>24</v>
      </c>
      <c r="Y125" s="3">
        <v>30</v>
      </c>
      <c r="Z125" s="3">
        <v>8921</v>
      </c>
      <c r="AA125">
        <f t="shared" si="1"/>
        <v>8028.9000000000005</v>
      </c>
    </row>
    <row r="126" spans="1:27" x14ac:dyDescent="0.35">
      <c r="A126" s="3">
        <v>125</v>
      </c>
      <c r="B126" s="3">
        <v>3</v>
      </c>
      <c r="C126" s="3" t="s">
        <v>153</v>
      </c>
      <c r="D126" s="3" t="s">
        <v>27</v>
      </c>
      <c r="E126" s="3" t="s">
        <v>52</v>
      </c>
      <c r="F126" s="3" t="s">
        <v>29</v>
      </c>
      <c r="G126" s="3" t="s">
        <v>38</v>
      </c>
      <c r="H126" s="3" t="s">
        <v>31</v>
      </c>
      <c r="I126" s="3" t="s">
        <v>32</v>
      </c>
      <c r="J126" s="3">
        <v>95.9</v>
      </c>
      <c r="K126" s="3">
        <v>173.2</v>
      </c>
      <c r="L126" s="3">
        <v>66.3</v>
      </c>
      <c r="M126" s="3">
        <v>50.2</v>
      </c>
      <c r="N126" s="3">
        <v>2818</v>
      </c>
      <c r="O126" s="3" t="s">
        <v>44</v>
      </c>
      <c r="P126" s="3" t="s">
        <v>34</v>
      </c>
      <c r="Q126" s="3">
        <v>156</v>
      </c>
      <c r="R126" s="3" t="s">
        <v>124</v>
      </c>
      <c r="S126" s="3">
        <v>3.59</v>
      </c>
      <c r="T126" s="3">
        <v>3.86</v>
      </c>
      <c r="U126" s="3">
        <v>7</v>
      </c>
      <c r="V126" s="3">
        <v>145</v>
      </c>
      <c r="W126" s="3">
        <v>5000</v>
      </c>
      <c r="X126" s="3">
        <v>19</v>
      </c>
      <c r="Y126" s="3">
        <v>24</v>
      </c>
      <c r="Z126" s="3">
        <v>12764</v>
      </c>
      <c r="AA126">
        <f t="shared" si="1"/>
        <v>11487.6</v>
      </c>
    </row>
    <row r="127" spans="1:27" x14ac:dyDescent="0.35">
      <c r="A127" s="3">
        <v>126</v>
      </c>
      <c r="B127" s="3">
        <v>3</v>
      </c>
      <c r="C127" s="3" t="s">
        <v>154</v>
      </c>
      <c r="D127" s="3" t="s">
        <v>27</v>
      </c>
      <c r="E127" s="3" t="s">
        <v>28</v>
      </c>
      <c r="F127" s="3" t="s">
        <v>29</v>
      </c>
      <c r="G127" s="3" t="s">
        <v>38</v>
      </c>
      <c r="H127" s="3" t="s">
        <v>31</v>
      </c>
      <c r="I127" s="3" t="s">
        <v>32</v>
      </c>
      <c r="J127" s="3">
        <v>94.5</v>
      </c>
      <c r="K127" s="3">
        <v>168.9</v>
      </c>
      <c r="L127" s="3">
        <v>68.3</v>
      </c>
      <c r="M127" s="3">
        <v>50.2</v>
      </c>
      <c r="N127" s="3">
        <v>2778</v>
      </c>
      <c r="O127" s="3" t="s">
        <v>44</v>
      </c>
      <c r="P127" s="3" t="s">
        <v>34</v>
      </c>
      <c r="Q127" s="3">
        <v>151</v>
      </c>
      <c r="R127" s="3" t="s">
        <v>35</v>
      </c>
      <c r="S127" s="3">
        <v>3.94</v>
      </c>
      <c r="T127" s="3">
        <v>3.11</v>
      </c>
      <c r="U127" s="3">
        <v>9.5</v>
      </c>
      <c r="V127" s="3">
        <v>143</v>
      </c>
      <c r="W127" s="3">
        <v>5500</v>
      </c>
      <c r="X127" s="3">
        <v>19</v>
      </c>
      <c r="Y127" s="3">
        <v>27</v>
      </c>
      <c r="Z127" s="3">
        <v>22018</v>
      </c>
      <c r="AA127">
        <f t="shared" si="1"/>
        <v>19816.2</v>
      </c>
    </row>
    <row r="128" spans="1:27" x14ac:dyDescent="0.35">
      <c r="A128" s="3">
        <v>127</v>
      </c>
      <c r="B128" s="3">
        <v>3</v>
      </c>
      <c r="C128" s="3" t="s">
        <v>155</v>
      </c>
      <c r="D128" s="3" t="s">
        <v>27</v>
      </c>
      <c r="E128" s="3" t="s">
        <v>28</v>
      </c>
      <c r="F128" s="3" t="s">
        <v>29</v>
      </c>
      <c r="G128" s="3" t="s">
        <v>112</v>
      </c>
      <c r="H128" s="3" t="s">
        <v>31</v>
      </c>
      <c r="I128" s="3" t="s">
        <v>156</v>
      </c>
      <c r="J128" s="3">
        <v>89.5</v>
      </c>
      <c r="K128" s="3">
        <v>168.9</v>
      </c>
      <c r="L128" s="3">
        <v>65</v>
      </c>
      <c r="M128" s="3">
        <v>51.6</v>
      </c>
      <c r="N128" s="3">
        <v>2756</v>
      </c>
      <c r="O128" s="3" t="s">
        <v>157</v>
      </c>
      <c r="P128" s="3" t="s">
        <v>40</v>
      </c>
      <c r="Q128" s="3">
        <v>194</v>
      </c>
      <c r="R128" s="3" t="s">
        <v>35</v>
      </c>
      <c r="S128" s="3">
        <v>3.74</v>
      </c>
      <c r="T128" s="3">
        <v>2.9</v>
      </c>
      <c r="U128" s="3">
        <v>9.5</v>
      </c>
      <c r="V128" s="3">
        <v>207</v>
      </c>
      <c r="W128" s="3">
        <v>5900</v>
      </c>
      <c r="X128" s="3">
        <v>17</v>
      </c>
      <c r="Y128" s="3">
        <v>25</v>
      </c>
      <c r="Z128" s="3">
        <v>32528</v>
      </c>
      <c r="AA128">
        <f t="shared" si="1"/>
        <v>29275.200000000001</v>
      </c>
    </row>
    <row r="129" spans="1:27" x14ac:dyDescent="0.35">
      <c r="A129" s="3">
        <v>128</v>
      </c>
      <c r="B129" s="3">
        <v>3</v>
      </c>
      <c r="C129" s="3" t="s">
        <v>158</v>
      </c>
      <c r="D129" s="3" t="s">
        <v>27</v>
      </c>
      <c r="E129" s="3" t="s">
        <v>28</v>
      </c>
      <c r="F129" s="3" t="s">
        <v>29</v>
      </c>
      <c r="G129" s="3" t="s">
        <v>112</v>
      </c>
      <c r="H129" s="3" t="s">
        <v>31</v>
      </c>
      <c r="I129" s="3" t="s">
        <v>156</v>
      </c>
      <c r="J129" s="3">
        <v>89.5</v>
      </c>
      <c r="K129" s="3">
        <v>168.9</v>
      </c>
      <c r="L129" s="3">
        <v>65</v>
      </c>
      <c r="M129" s="3">
        <v>51.6</v>
      </c>
      <c r="N129" s="3">
        <v>2756</v>
      </c>
      <c r="O129" s="3" t="s">
        <v>157</v>
      </c>
      <c r="P129" s="3" t="s">
        <v>40</v>
      </c>
      <c r="Q129" s="3">
        <v>194</v>
      </c>
      <c r="R129" s="3" t="s">
        <v>35</v>
      </c>
      <c r="S129" s="3">
        <v>3.74</v>
      </c>
      <c r="T129" s="3">
        <v>2.9</v>
      </c>
      <c r="U129" s="3">
        <v>9.5</v>
      </c>
      <c r="V129" s="3">
        <v>207</v>
      </c>
      <c r="W129" s="3">
        <v>5900</v>
      </c>
      <c r="X129" s="3">
        <v>17</v>
      </c>
      <c r="Y129" s="3">
        <v>25</v>
      </c>
      <c r="Z129" s="3">
        <v>34028</v>
      </c>
      <c r="AA129">
        <f t="shared" si="1"/>
        <v>30625.200000000001</v>
      </c>
    </row>
    <row r="130" spans="1:27" x14ac:dyDescent="0.35">
      <c r="A130" s="3">
        <v>129</v>
      </c>
      <c r="B130" s="3">
        <v>3</v>
      </c>
      <c r="C130" s="3" t="s">
        <v>159</v>
      </c>
      <c r="D130" s="3" t="s">
        <v>27</v>
      </c>
      <c r="E130" s="3" t="s">
        <v>28</v>
      </c>
      <c r="F130" s="3" t="s">
        <v>29</v>
      </c>
      <c r="G130" s="3" t="s">
        <v>30</v>
      </c>
      <c r="H130" s="3" t="s">
        <v>31</v>
      </c>
      <c r="I130" s="3" t="s">
        <v>156</v>
      </c>
      <c r="J130" s="3">
        <v>89.5</v>
      </c>
      <c r="K130" s="3">
        <v>168.9</v>
      </c>
      <c r="L130" s="3">
        <v>65</v>
      </c>
      <c r="M130" s="3">
        <v>51.6</v>
      </c>
      <c r="N130" s="3">
        <v>2800</v>
      </c>
      <c r="O130" s="3" t="s">
        <v>157</v>
      </c>
      <c r="P130" s="3" t="s">
        <v>40</v>
      </c>
      <c r="Q130" s="3">
        <v>194</v>
      </c>
      <c r="R130" s="3" t="s">
        <v>35</v>
      </c>
      <c r="S130" s="3">
        <v>3.74</v>
      </c>
      <c r="T130" s="3">
        <v>2.9</v>
      </c>
      <c r="U130" s="3">
        <v>9.5</v>
      </c>
      <c r="V130" s="3">
        <v>207</v>
      </c>
      <c r="W130" s="3">
        <v>5900</v>
      </c>
      <c r="X130" s="3">
        <v>17</v>
      </c>
      <c r="Y130" s="3">
        <v>25</v>
      </c>
      <c r="Z130" s="3">
        <v>37028</v>
      </c>
      <c r="AA130">
        <f t="shared" si="1"/>
        <v>33325.200000000004</v>
      </c>
    </row>
    <row r="131" spans="1:27" x14ac:dyDescent="0.35">
      <c r="A131" s="3">
        <v>130</v>
      </c>
      <c r="B131" s="3">
        <v>1</v>
      </c>
      <c r="C131" s="3" t="s">
        <v>158</v>
      </c>
      <c r="D131" s="3" t="s">
        <v>27</v>
      </c>
      <c r="E131" s="3" t="s">
        <v>28</v>
      </c>
      <c r="F131" s="3" t="s">
        <v>29</v>
      </c>
      <c r="G131" s="3" t="s">
        <v>38</v>
      </c>
      <c r="H131" s="3" t="s">
        <v>31</v>
      </c>
      <c r="I131" s="3" t="s">
        <v>32</v>
      </c>
      <c r="J131" s="3">
        <v>98.4</v>
      </c>
      <c r="K131" s="3">
        <v>175.7</v>
      </c>
      <c r="L131" s="3">
        <v>72.3</v>
      </c>
      <c r="M131" s="3">
        <v>50.5</v>
      </c>
      <c r="N131" s="3">
        <v>3366</v>
      </c>
      <c r="O131" s="3" t="s">
        <v>160</v>
      </c>
      <c r="P131" s="3" t="s">
        <v>115</v>
      </c>
      <c r="Q131" s="3">
        <v>203</v>
      </c>
      <c r="R131" s="3" t="s">
        <v>35</v>
      </c>
      <c r="S131" s="3">
        <v>3.94</v>
      </c>
      <c r="T131" s="3">
        <v>3.11</v>
      </c>
      <c r="U131" s="3">
        <v>10</v>
      </c>
      <c r="V131" s="3">
        <v>288</v>
      </c>
      <c r="W131" s="3">
        <v>5750</v>
      </c>
      <c r="X131" s="3">
        <v>17</v>
      </c>
      <c r="Y131" s="3">
        <v>28</v>
      </c>
      <c r="Z131" s="3">
        <v>31400.5</v>
      </c>
      <c r="AA131">
        <f t="shared" si="1"/>
        <v>28260.45</v>
      </c>
    </row>
    <row r="132" spans="1:27" x14ac:dyDescent="0.35">
      <c r="A132" s="3">
        <v>131</v>
      </c>
      <c r="B132" s="3">
        <v>0</v>
      </c>
      <c r="C132" s="3" t="s">
        <v>161</v>
      </c>
      <c r="D132" s="3" t="s">
        <v>27</v>
      </c>
      <c r="E132" s="3" t="s">
        <v>28</v>
      </c>
      <c r="F132" s="3" t="s">
        <v>34</v>
      </c>
      <c r="G132" s="3" t="s">
        <v>50</v>
      </c>
      <c r="H132" s="3" t="s">
        <v>43</v>
      </c>
      <c r="I132" s="3" t="s">
        <v>32</v>
      </c>
      <c r="J132" s="3">
        <v>96.1</v>
      </c>
      <c r="K132" s="3">
        <v>181.5</v>
      </c>
      <c r="L132" s="3">
        <v>66.5</v>
      </c>
      <c r="M132" s="3">
        <v>55.2</v>
      </c>
      <c r="N132" s="3">
        <v>2579</v>
      </c>
      <c r="O132" s="3" t="s">
        <v>44</v>
      </c>
      <c r="P132" s="3" t="s">
        <v>34</v>
      </c>
      <c r="Q132" s="3">
        <v>132</v>
      </c>
      <c r="R132" s="3" t="s">
        <v>35</v>
      </c>
      <c r="S132" s="3">
        <v>3.46</v>
      </c>
      <c r="T132" s="3">
        <v>3.9</v>
      </c>
      <c r="U132" s="3">
        <v>8.6999999999999993</v>
      </c>
      <c r="V132" s="3">
        <v>90</v>
      </c>
      <c r="W132" s="3">
        <v>5100</v>
      </c>
      <c r="X132" s="3">
        <v>23</v>
      </c>
      <c r="Y132" s="3">
        <v>31</v>
      </c>
      <c r="Z132" s="3">
        <v>9295</v>
      </c>
      <c r="AA132">
        <f t="shared" si="1"/>
        <v>8365.5</v>
      </c>
    </row>
    <row r="133" spans="1:27" x14ac:dyDescent="0.35">
      <c r="A133" s="3">
        <v>132</v>
      </c>
      <c r="B133" s="3">
        <v>2</v>
      </c>
      <c r="C133" s="3" t="s">
        <v>162</v>
      </c>
      <c r="D133" s="3" t="s">
        <v>27</v>
      </c>
      <c r="E133" s="3" t="s">
        <v>28</v>
      </c>
      <c r="F133" s="3" t="s">
        <v>29</v>
      </c>
      <c r="G133" s="3" t="s">
        <v>38</v>
      </c>
      <c r="H133" s="3" t="s">
        <v>43</v>
      </c>
      <c r="I133" s="3" t="s">
        <v>32</v>
      </c>
      <c r="J133" s="3">
        <v>96.1</v>
      </c>
      <c r="K133" s="3">
        <v>176.8</v>
      </c>
      <c r="L133" s="3">
        <v>66.599999999999994</v>
      </c>
      <c r="M133" s="3">
        <v>50.5</v>
      </c>
      <c r="N133" s="3">
        <v>2460</v>
      </c>
      <c r="O133" s="3" t="s">
        <v>44</v>
      </c>
      <c r="P133" s="3" t="s">
        <v>34</v>
      </c>
      <c r="Q133" s="3">
        <v>132</v>
      </c>
      <c r="R133" s="3" t="s">
        <v>35</v>
      </c>
      <c r="S133" s="3">
        <v>3.46</v>
      </c>
      <c r="T133" s="3">
        <v>3.9</v>
      </c>
      <c r="U133" s="3">
        <v>8.6999999999999993</v>
      </c>
      <c r="V133" s="3">
        <v>90</v>
      </c>
      <c r="W133" s="3">
        <v>5100</v>
      </c>
      <c r="X133" s="3">
        <v>23</v>
      </c>
      <c r="Y133" s="3">
        <v>31</v>
      </c>
      <c r="Z133" s="3">
        <v>9895</v>
      </c>
      <c r="AA133">
        <f t="shared" ref="AA133:AA196" si="2">Z133*0.9</f>
        <v>8905.5</v>
      </c>
    </row>
    <row r="134" spans="1:27" x14ac:dyDescent="0.35">
      <c r="A134" s="3">
        <v>133</v>
      </c>
      <c r="B134" s="3">
        <v>3</v>
      </c>
      <c r="C134" s="3" t="s">
        <v>163</v>
      </c>
      <c r="D134" s="3" t="s">
        <v>27</v>
      </c>
      <c r="E134" s="3" t="s">
        <v>28</v>
      </c>
      <c r="F134" s="3" t="s">
        <v>29</v>
      </c>
      <c r="G134" s="3" t="s">
        <v>38</v>
      </c>
      <c r="H134" s="3" t="s">
        <v>43</v>
      </c>
      <c r="I134" s="3" t="s">
        <v>32</v>
      </c>
      <c r="J134" s="3">
        <v>99.1</v>
      </c>
      <c r="K134" s="3">
        <v>186.6</v>
      </c>
      <c r="L134" s="3">
        <v>66.5</v>
      </c>
      <c r="M134" s="3">
        <v>56.1</v>
      </c>
      <c r="N134" s="3">
        <v>2658</v>
      </c>
      <c r="O134" s="3" t="s">
        <v>44</v>
      </c>
      <c r="P134" s="3" t="s">
        <v>34</v>
      </c>
      <c r="Q134" s="3">
        <v>121</v>
      </c>
      <c r="R134" s="3" t="s">
        <v>35</v>
      </c>
      <c r="S134" s="3">
        <v>3.54</v>
      </c>
      <c r="T134" s="3">
        <v>3.07</v>
      </c>
      <c r="U134" s="3">
        <v>9.31</v>
      </c>
      <c r="V134" s="3">
        <v>110</v>
      </c>
      <c r="W134" s="3">
        <v>5250</v>
      </c>
      <c r="X134" s="3">
        <v>21</v>
      </c>
      <c r="Y134" s="3">
        <v>28</v>
      </c>
      <c r="Z134" s="3">
        <v>11850</v>
      </c>
      <c r="AA134">
        <f t="shared" si="2"/>
        <v>10665</v>
      </c>
    </row>
    <row r="135" spans="1:27" x14ac:dyDescent="0.35">
      <c r="A135" s="3">
        <v>134</v>
      </c>
      <c r="B135" s="3">
        <v>2</v>
      </c>
      <c r="C135" s="3" t="s">
        <v>164</v>
      </c>
      <c r="D135" s="3" t="s">
        <v>27</v>
      </c>
      <c r="E135" s="3" t="s">
        <v>28</v>
      </c>
      <c r="F135" s="3" t="s">
        <v>34</v>
      </c>
      <c r="G135" s="3" t="s">
        <v>42</v>
      </c>
      <c r="H135" s="3" t="s">
        <v>43</v>
      </c>
      <c r="I135" s="3" t="s">
        <v>32</v>
      </c>
      <c r="J135" s="3">
        <v>99.1</v>
      </c>
      <c r="K135" s="3">
        <v>186.6</v>
      </c>
      <c r="L135" s="3">
        <v>66.5</v>
      </c>
      <c r="M135" s="3">
        <v>56.1</v>
      </c>
      <c r="N135" s="3">
        <v>2695</v>
      </c>
      <c r="O135" s="3" t="s">
        <v>44</v>
      </c>
      <c r="P135" s="3" t="s">
        <v>34</v>
      </c>
      <c r="Q135" s="3">
        <v>121</v>
      </c>
      <c r="R135" s="3" t="s">
        <v>35</v>
      </c>
      <c r="S135" s="3">
        <v>3.54</v>
      </c>
      <c r="T135" s="3">
        <v>3.07</v>
      </c>
      <c r="U135" s="3">
        <v>9.3000000000000007</v>
      </c>
      <c r="V135" s="3">
        <v>110</v>
      </c>
      <c r="W135" s="3">
        <v>5250</v>
      </c>
      <c r="X135" s="3">
        <v>21</v>
      </c>
      <c r="Y135" s="3">
        <v>28</v>
      </c>
      <c r="Z135" s="3">
        <v>12170</v>
      </c>
      <c r="AA135">
        <f t="shared" si="2"/>
        <v>10953</v>
      </c>
    </row>
    <row r="136" spans="1:27" x14ac:dyDescent="0.35">
      <c r="A136" s="3">
        <v>135</v>
      </c>
      <c r="B136" s="3">
        <v>3</v>
      </c>
      <c r="C136" s="3" t="s">
        <v>164</v>
      </c>
      <c r="D136" s="3" t="s">
        <v>27</v>
      </c>
      <c r="E136" s="3" t="s">
        <v>28</v>
      </c>
      <c r="F136" s="3" t="s">
        <v>29</v>
      </c>
      <c r="G136" s="3" t="s">
        <v>38</v>
      </c>
      <c r="H136" s="3" t="s">
        <v>43</v>
      </c>
      <c r="I136" s="3" t="s">
        <v>32</v>
      </c>
      <c r="J136" s="3">
        <v>99.1</v>
      </c>
      <c r="K136" s="3">
        <v>186.6</v>
      </c>
      <c r="L136" s="3">
        <v>66.5</v>
      </c>
      <c r="M136" s="3">
        <v>56.1</v>
      </c>
      <c r="N136" s="3">
        <v>2707</v>
      </c>
      <c r="O136" s="3" t="s">
        <v>44</v>
      </c>
      <c r="P136" s="3" t="s">
        <v>34</v>
      </c>
      <c r="Q136" s="3">
        <v>121</v>
      </c>
      <c r="R136" s="3" t="s">
        <v>35</v>
      </c>
      <c r="S136" s="3">
        <v>2.54</v>
      </c>
      <c r="T136" s="3">
        <v>2.0699999999999998</v>
      </c>
      <c r="U136" s="3">
        <v>9.3000000000000007</v>
      </c>
      <c r="V136" s="3">
        <v>110</v>
      </c>
      <c r="W136" s="3">
        <v>5250</v>
      </c>
      <c r="X136" s="3">
        <v>21</v>
      </c>
      <c r="Y136" s="3">
        <v>28</v>
      </c>
      <c r="Z136" s="3">
        <v>15040</v>
      </c>
      <c r="AA136">
        <f t="shared" si="2"/>
        <v>13536</v>
      </c>
    </row>
    <row r="137" spans="1:27" x14ac:dyDescent="0.35">
      <c r="A137" s="3">
        <v>136</v>
      </c>
      <c r="B137" s="3">
        <v>2</v>
      </c>
      <c r="C137" s="3" t="s">
        <v>165</v>
      </c>
      <c r="D137" s="3" t="s">
        <v>27</v>
      </c>
      <c r="E137" s="3" t="s">
        <v>28</v>
      </c>
      <c r="F137" s="3" t="s">
        <v>34</v>
      </c>
      <c r="G137" s="3" t="s">
        <v>42</v>
      </c>
      <c r="H137" s="3" t="s">
        <v>43</v>
      </c>
      <c r="I137" s="3" t="s">
        <v>32</v>
      </c>
      <c r="J137" s="3">
        <v>99.1</v>
      </c>
      <c r="K137" s="3">
        <v>186.6</v>
      </c>
      <c r="L137" s="3">
        <v>66.5</v>
      </c>
      <c r="M137" s="3">
        <v>56.1</v>
      </c>
      <c r="N137" s="3">
        <v>2758</v>
      </c>
      <c r="O137" s="3" t="s">
        <v>44</v>
      </c>
      <c r="P137" s="3" t="s">
        <v>34</v>
      </c>
      <c r="Q137" s="3">
        <v>121</v>
      </c>
      <c r="R137" s="3" t="s">
        <v>35</v>
      </c>
      <c r="S137" s="3">
        <v>3.54</v>
      </c>
      <c r="T137" s="3">
        <v>3.07</v>
      </c>
      <c r="U137" s="3">
        <v>9.3000000000000007</v>
      </c>
      <c r="V137" s="3">
        <v>110</v>
      </c>
      <c r="W137" s="3">
        <v>5250</v>
      </c>
      <c r="X137" s="3">
        <v>21</v>
      </c>
      <c r="Y137" s="3">
        <v>28</v>
      </c>
      <c r="Z137" s="3">
        <v>15510</v>
      </c>
      <c r="AA137">
        <f t="shared" si="2"/>
        <v>13959</v>
      </c>
    </row>
    <row r="138" spans="1:27" x14ac:dyDescent="0.35">
      <c r="A138" s="3">
        <v>137</v>
      </c>
      <c r="B138" s="3">
        <v>3</v>
      </c>
      <c r="C138" s="3" t="s">
        <v>165</v>
      </c>
      <c r="D138" s="3" t="s">
        <v>27</v>
      </c>
      <c r="E138" s="3" t="s">
        <v>52</v>
      </c>
      <c r="F138" s="3" t="s">
        <v>29</v>
      </c>
      <c r="G138" s="3" t="s">
        <v>38</v>
      </c>
      <c r="H138" s="3" t="s">
        <v>43</v>
      </c>
      <c r="I138" s="3" t="s">
        <v>32</v>
      </c>
      <c r="J138" s="3">
        <v>99.1</v>
      </c>
      <c r="K138" s="3">
        <v>186.6</v>
      </c>
      <c r="L138" s="3">
        <v>66.5</v>
      </c>
      <c r="M138" s="3">
        <v>56.1</v>
      </c>
      <c r="N138" s="3">
        <v>2808</v>
      </c>
      <c r="O138" s="3" t="s">
        <v>33</v>
      </c>
      <c r="P138" s="3" t="s">
        <v>34</v>
      </c>
      <c r="Q138" s="3">
        <v>121</v>
      </c>
      <c r="R138" s="3" t="s">
        <v>35</v>
      </c>
      <c r="S138" s="3">
        <v>3.54</v>
      </c>
      <c r="T138" s="3">
        <v>3.07</v>
      </c>
      <c r="U138" s="3">
        <v>9</v>
      </c>
      <c r="V138" s="3">
        <v>160</v>
      </c>
      <c r="W138" s="3">
        <v>5500</v>
      </c>
      <c r="X138" s="3">
        <v>19</v>
      </c>
      <c r="Y138" s="3">
        <v>26</v>
      </c>
      <c r="Z138" s="3">
        <v>18150</v>
      </c>
      <c r="AA138">
        <f t="shared" si="2"/>
        <v>16335</v>
      </c>
    </row>
    <row r="139" spans="1:27" x14ac:dyDescent="0.35">
      <c r="A139" s="3">
        <v>138</v>
      </c>
      <c r="B139" s="3">
        <v>2</v>
      </c>
      <c r="C139" s="3" t="s">
        <v>163</v>
      </c>
      <c r="D139" s="3" t="s">
        <v>27</v>
      </c>
      <c r="E139" s="3" t="s">
        <v>52</v>
      </c>
      <c r="F139" s="3" t="s">
        <v>34</v>
      </c>
      <c r="G139" s="3" t="s">
        <v>42</v>
      </c>
      <c r="H139" s="3" t="s">
        <v>43</v>
      </c>
      <c r="I139" s="3" t="s">
        <v>32</v>
      </c>
      <c r="J139" s="3">
        <v>99.1</v>
      </c>
      <c r="K139" s="3">
        <v>186.6</v>
      </c>
      <c r="L139" s="3">
        <v>66.5</v>
      </c>
      <c r="M139" s="3">
        <v>56.1</v>
      </c>
      <c r="N139" s="3">
        <v>2847</v>
      </c>
      <c r="O139" s="3" t="s">
        <v>33</v>
      </c>
      <c r="P139" s="3" t="s">
        <v>34</v>
      </c>
      <c r="Q139" s="3">
        <v>121</v>
      </c>
      <c r="R139" s="3" t="s">
        <v>35</v>
      </c>
      <c r="S139" s="3">
        <v>3.54</v>
      </c>
      <c r="T139" s="3">
        <v>3.07</v>
      </c>
      <c r="U139" s="3">
        <v>9</v>
      </c>
      <c r="V139" s="3">
        <v>160</v>
      </c>
      <c r="W139" s="3">
        <v>5500</v>
      </c>
      <c r="X139" s="3">
        <v>19</v>
      </c>
      <c r="Y139" s="3">
        <v>26</v>
      </c>
      <c r="Z139" s="3">
        <v>18620</v>
      </c>
      <c r="AA139">
        <f t="shared" si="2"/>
        <v>16758</v>
      </c>
    </row>
    <row r="140" spans="1:27" x14ac:dyDescent="0.35">
      <c r="A140" s="3">
        <v>139</v>
      </c>
      <c r="B140" s="3">
        <v>2</v>
      </c>
      <c r="C140" s="3" t="s">
        <v>166</v>
      </c>
      <c r="D140" s="3" t="s">
        <v>27</v>
      </c>
      <c r="E140" s="3" t="s">
        <v>28</v>
      </c>
      <c r="F140" s="3" t="s">
        <v>29</v>
      </c>
      <c r="G140" s="3" t="s">
        <v>38</v>
      </c>
      <c r="H140" s="3" t="s">
        <v>43</v>
      </c>
      <c r="I140" s="3" t="s">
        <v>32</v>
      </c>
      <c r="J140" s="3">
        <v>93.7</v>
      </c>
      <c r="K140" s="3">
        <v>156.9</v>
      </c>
      <c r="L140" s="3">
        <v>63.4</v>
      </c>
      <c r="M140" s="3">
        <v>53.7</v>
      </c>
      <c r="N140" s="3">
        <v>2050</v>
      </c>
      <c r="O140" s="3" t="s">
        <v>157</v>
      </c>
      <c r="P140" s="3" t="s">
        <v>34</v>
      </c>
      <c r="Q140" s="3">
        <v>97</v>
      </c>
      <c r="R140" s="3" t="s">
        <v>63</v>
      </c>
      <c r="S140" s="3">
        <v>3.62</v>
      </c>
      <c r="T140" s="3">
        <v>2.36</v>
      </c>
      <c r="U140" s="3">
        <v>9</v>
      </c>
      <c r="V140" s="3">
        <v>69</v>
      </c>
      <c r="W140" s="3">
        <v>4900</v>
      </c>
      <c r="X140" s="3">
        <v>31</v>
      </c>
      <c r="Y140" s="3">
        <v>36</v>
      </c>
      <c r="Z140" s="3">
        <v>5118</v>
      </c>
      <c r="AA140">
        <f t="shared" si="2"/>
        <v>4606.2</v>
      </c>
    </row>
    <row r="141" spans="1:27" x14ac:dyDescent="0.35">
      <c r="A141" s="3">
        <v>140</v>
      </c>
      <c r="B141" s="3">
        <v>2</v>
      </c>
      <c r="C141" s="3" t="s">
        <v>167</v>
      </c>
      <c r="D141" s="3" t="s">
        <v>27</v>
      </c>
      <c r="E141" s="3" t="s">
        <v>28</v>
      </c>
      <c r="F141" s="3" t="s">
        <v>29</v>
      </c>
      <c r="G141" s="3" t="s">
        <v>38</v>
      </c>
      <c r="H141" s="3" t="s">
        <v>43</v>
      </c>
      <c r="I141" s="3" t="s">
        <v>32</v>
      </c>
      <c r="J141" s="3">
        <v>93.7</v>
      </c>
      <c r="K141" s="3">
        <v>157.9</v>
      </c>
      <c r="L141" s="3">
        <v>63.6</v>
      </c>
      <c r="M141" s="3">
        <v>53.7</v>
      </c>
      <c r="N141" s="3">
        <v>2120</v>
      </c>
      <c r="O141" s="3" t="s">
        <v>157</v>
      </c>
      <c r="P141" s="3" t="s">
        <v>34</v>
      </c>
      <c r="Q141" s="3">
        <v>108</v>
      </c>
      <c r="R141" s="3" t="s">
        <v>63</v>
      </c>
      <c r="S141" s="3">
        <v>3.62</v>
      </c>
      <c r="T141" s="3">
        <v>2.64</v>
      </c>
      <c r="U141" s="3">
        <v>8.6999999999999993</v>
      </c>
      <c r="V141" s="3">
        <v>73</v>
      </c>
      <c r="W141" s="3">
        <v>4400</v>
      </c>
      <c r="X141" s="3">
        <v>26</v>
      </c>
      <c r="Y141" s="3">
        <v>31</v>
      </c>
      <c r="Z141" s="3">
        <v>7053</v>
      </c>
      <c r="AA141">
        <f t="shared" si="2"/>
        <v>6347.7</v>
      </c>
    </row>
    <row r="142" spans="1:27" x14ac:dyDescent="0.35">
      <c r="A142" s="3">
        <v>141</v>
      </c>
      <c r="B142" s="3">
        <v>2</v>
      </c>
      <c r="C142" s="3" t="s">
        <v>167</v>
      </c>
      <c r="D142" s="3" t="s">
        <v>27</v>
      </c>
      <c r="E142" s="3" t="s">
        <v>28</v>
      </c>
      <c r="F142" s="3" t="s">
        <v>29</v>
      </c>
      <c r="G142" s="3" t="s">
        <v>38</v>
      </c>
      <c r="H142" s="3" t="s">
        <v>46</v>
      </c>
      <c r="I142" s="3" t="s">
        <v>32</v>
      </c>
      <c r="J142" s="3">
        <v>93.3</v>
      </c>
      <c r="K142" s="3">
        <v>157.30000000000001</v>
      </c>
      <c r="L142" s="3">
        <v>63.8</v>
      </c>
      <c r="M142" s="3">
        <v>55.7</v>
      </c>
      <c r="N142" s="3">
        <v>2240</v>
      </c>
      <c r="O142" s="3" t="s">
        <v>157</v>
      </c>
      <c r="P142" s="3" t="s">
        <v>34</v>
      </c>
      <c r="Q142" s="3">
        <v>108</v>
      </c>
      <c r="R142" s="3" t="s">
        <v>63</v>
      </c>
      <c r="S142" s="3">
        <v>3.62</v>
      </c>
      <c r="T142" s="3">
        <v>2.64</v>
      </c>
      <c r="U142" s="3">
        <v>8.6999999999999993</v>
      </c>
      <c r="V142" s="3">
        <v>73</v>
      </c>
      <c r="W142" s="3">
        <v>4400</v>
      </c>
      <c r="X142" s="3">
        <v>26</v>
      </c>
      <c r="Y142" s="3">
        <v>31</v>
      </c>
      <c r="Z142" s="3">
        <v>7603</v>
      </c>
      <c r="AA142">
        <f t="shared" si="2"/>
        <v>6842.7</v>
      </c>
    </row>
    <row r="143" spans="1:27" x14ac:dyDescent="0.35">
      <c r="A143" s="3">
        <v>142</v>
      </c>
      <c r="B143" s="3">
        <v>0</v>
      </c>
      <c r="C143" s="3" t="s">
        <v>166</v>
      </c>
      <c r="D143" s="3" t="s">
        <v>27</v>
      </c>
      <c r="E143" s="3" t="s">
        <v>28</v>
      </c>
      <c r="F143" s="3" t="s">
        <v>34</v>
      </c>
      <c r="G143" s="3" t="s">
        <v>42</v>
      </c>
      <c r="H143" s="3" t="s">
        <v>43</v>
      </c>
      <c r="I143" s="3" t="s">
        <v>32</v>
      </c>
      <c r="J143" s="3">
        <v>97.2</v>
      </c>
      <c r="K143" s="3">
        <v>172</v>
      </c>
      <c r="L143" s="3">
        <v>65.400000000000006</v>
      </c>
      <c r="M143" s="3">
        <v>52.5</v>
      </c>
      <c r="N143" s="3">
        <v>2145</v>
      </c>
      <c r="O143" s="3" t="s">
        <v>157</v>
      </c>
      <c r="P143" s="3" t="s">
        <v>34</v>
      </c>
      <c r="Q143" s="3">
        <v>108</v>
      </c>
      <c r="R143" s="3" t="s">
        <v>63</v>
      </c>
      <c r="S143" s="3">
        <v>3.62</v>
      </c>
      <c r="T143" s="3">
        <v>2.64</v>
      </c>
      <c r="U143" s="3">
        <v>9.5</v>
      </c>
      <c r="V143" s="3">
        <v>82</v>
      </c>
      <c r="W143" s="3">
        <v>4800</v>
      </c>
      <c r="X143" s="3">
        <v>32</v>
      </c>
      <c r="Y143" s="3">
        <v>37</v>
      </c>
      <c r="Z143" s="3">
        <v>7126</v>
      </c>
      <c r="AA143">
        <f t="shared" si="2"/>
        <v>6413.4000000000005</v>
      </c>
    </row>
    <row r="144" spans="1:27" x14ac:dyDescent="0.35">
      <c r="A144" s="3">
        <v>143</v>
      </c>
      <c r="B144" s="3">
        <v>0</v>
      </c>
      <c r="C144" s="3" t="s">
        <v>168</v>
      </c>
      <c r="D144" s="3" t="s">
        <v>27</v>
      </c>
      <c r="E144" s="3" t="s">
        <v>28</v>
      </c>
      <c r="F144" s="3" t="s">
        <v>34</v>
      </c>
      <c r="G144" s="3" t="s">
        <v>42</v>
      </c>
      <c r="H144" s="3" t="s">
        <v>43</v>
      </c>
      <c r="I144" s="3" t="s">
        <v>32</v>
      </c>
      <c r="J144" s="3">
        <v>97.2</v>
      </c>
      <c r="K144" s="3">
        <v>172</v>
      </c>
      <c r="L144" s="3">
        <v>65.400000000000006</v>
      </c>
      <c r="M144" s="3">
        <v>52.5</v>
      </c>
      <c r="N144" s="3">
        <v>2190</v>
      </c>
      <c r="O144" s="3" t="s">
        <v>157</v>
      </c>
      <c r="P144" s="3" t="s">
        <v>34</v>
      </c>
      <c r="Q144" s="3">
        <v>108</v>
      </c>
      <c r="R144" s="3" t="s">
        <v>63</v>
      </c>
      <c r="S144" s="3">
        <v>3.62</v>
      </c>
      <c r="T144" s="3">
        <v>2.64</v>
      </c>
      <c r="U144" s="3">
        <v>9.5</v>
      </c>
      <c r="V144" s="3">
        <v>82</v>
      </c>
      <c r="W144" s="3">
        <v>4400</v>
      </c>
      <c r="X144" s="3">
        <v>28</v>
      </c>
      <c r="Y144" s="3">
        <v>33</v>
      </c>
      <c r="Z144" s="3">
        <v>7775</v>
      </c>
      <c r="AA144">
        <f t="shared" si="2"/>
        <v>6997.5</v>
      </c>
    </row>
    <row r="145" spans="1:27" x14ac:dyDescent="0.35">
      <c r="A145" s="3">
        <v>144</v>
      </c>
      <c r="B145" s="3">
        <v>0</v>
      </c>
      <c r="C145" s="3" t="s">
        <v>169</v>
      </c>
      <c r="D145" s="3" t="s">
        <v>27</v>
      </c>
      <c r="E145" s="3" t="s">
        <v>28</v>
      </c>
      <c r="F145" s="3" t="s">
        <v>34</v>
      </c>
      <c r="G145" s="3" t="s">
        <v>42</v>
      </c>
      <c r="H145" s="3" t="s">
        <v>43</v>
      </c>
      <c r="I145" s="3" t="s">
        <v>32</v>
      </c>
      <c r="J145" s="3">
        <v>97.2</v>
      </c>
      <c r="K145" s="3">
        <v>172</v>
      </c>
      <c r="L145" s="3">
        <v>65.400000000000006</v>
      </c>
      <c r="M145" s="3">
        <v>52.5</v>
      </c>
      <c r="N145" s="3">
        <v>2340</v>
      </c>
      <c r="O145" s="3" t="s">
        <v>157</v>
      </c>
      <c r="P145" s="3" t="s">
        <v>34</v>
      </c>
      <c r="Q145" s="3">
        <v>108</v>
      </c>
      <c r="R145" s="3" t="s">
        <v>35</v>
      </c>
      <c r="S145" s="3">
        <v>3.62</v>
      </c>
      <c r="T145" s="3">
        <v>2.64</v>
      </c>
      <c r="U145" s="3">
        <v>9</v>
      </c>
      <c r="V145" s="3">
        <v>94</v>
      </c>
      <c r="W145" s="3">
        <v>5200</v>
      </c>
      <c r="X145" s="3">
        <v>26</v>
      </c>
      <c r="Y145" s="3">
        <v>32</v>
      </c>
      <c r="Z145" s="3">
        <v>9960</v>
      </c>
      <c r="AA145">
        <f t="shared" si="2"/>
        <v>8964</v>
      </c>
    </row>
    <row r="146" spans="1:27" x14ac:dyDescent="0.35">
      <c r="A146" s="3">
        <v>145</v>
      </c>
      <c r="B146" s="3">
        <v>0</v>
      </c>
      <c r="C146" s="3" t="s">
        <v>170</v>
      </c>
      <c r="D146" s="3" t="s">
        <v>27</v>
      </c>
      <c r="E146" s="3" t="s">
        <v>28</v>
      </c>
      <c r="F146" s="3" t="s">
        <v>34</v>
      </c>
      <c r="G146" s="3" t="s">
        <v>42</v>
      </c>
      <c r="H146" s="3" t="s">
        <v>46</v>
      </c>
      <c r="I146" s="3" t="s">
        <v>32</v>
      </c>
      <c r="J146" s="3">
        <v>97</v>
      </c>
      <c r="K146" s="3">
        <v>172</v>
      </c>
      <c r="L146" s="3">
        <v>65.400000000000006</v>
      </c>
      <c r="M146" s="3">
        <v>54.3</v>
      </c>
      <c r="N146" s="3">
        <v>2385</v>
      </c>
      <c r="O146" s="3" t="s">
        <v>157</v>
      </c>
      <c r="P146" s="3" t="s">
        <v>34</v>
      </c>
      <c r="Q146" s="3">
        <v>108</v>
      </c>
      <c r="R146" s="3" t="s">
        <v>63</v>
      </c>
      <c r="S146" s="3">
        <v>3.62</v>
      </c>
      <c r="T146" s="3">
        <v>2.64</v>
      </c>
      <c r="U146" s="3">
        <v>9</v>
      </c>
      <c r="V146" s="3">
        <v>82</v>
      </c>
      <c r="W146" s="3">
        <v>4800</v>
      </c>
      <c r="X146" s="3">
        <v>24</v>
      </c>
      <c r="Y146" s="3">
        <v>25</v>
      </c>
      <c r="Z146" s="3">
        <v>9233</v>
      </c>
      <c r="AA146">
        <f t="shared" si="2"/>
        <v>8309.7000000000007</v>
      </c>
    </row>
    <row r="147" spans="1:27" x14ac:dyDescent="0.35">
      <c r="A147" s="3">
        <v>146</v>
      </c>
      <c r="B147" s="3">
        <v>0</v>
      </c>
      <c r="C147" s="3" t="s">
        <v>171</v>
      </c>
      <c r="D147" s="3" t="s">
        <v>27</v>
      </c>
      <c r="E147" s="3" t="s">
        <v>52</v>
      </c>
      <c r="F147" s="3" t="s">
        <v>34</v>
      </c>
      <c r="G147" s="3" t="s">
        <v>42</v>
      </c>
      <c r="H147" s="3" t="s">
        <v>46</v>
      </c>
      <c r="I147" s="3" t="s">
        <v>32</v>
      </c>
      <c r="J147" s="3">
        <v>97</v>
      </c>
      <c r="K147" s="3">
        <v>172</v>
      </c>
      <c r="L147" s="3">
        <v>65.400000000000006</v>
      </c>
      <c r="M147" s="3">
        <v>54.3</v>
      </c>
      <c r="N147" s="3">
        <v>2510</v>
      </c>
      <c r="O147" s="3" t="s">
        <v>157</v>
      </c>
      <c r="P147" s="3" t="s">
        <v>34</v>
      </c>
      <c r="Q147" s="3">
        <v>108</v>
      </c>
      <c r="R147" s="3" t="s">
        <v>35</v>
      </c>
      <c r="S147" s="3">
        <v>3.62</v>
      </c>
      <c r="T147" s="3">
        <v>2.64</v>
      </c>
      <c r="U147" s="3">
        <v>7.7</v>
      </c>
      <c r="V147" s="3">
        <v>111</v>
      </c>
      <c r="W147" s="3">
        <v>4800</v>
      </c>
      <c r="X147" s="3">
        <v>24</v>
      </c>
      <c r="Y147" s="3">
        <v>29</v>
      </c>
      <c r="Z147" s="3">
        <v>11259</v>
      </c>
      <c r="AA147">
        <f t="shared" si="2"/>
        <v>10133.1</v>
      </c>
    </row>
    <row r="148" spans="1:27" x14ac:dyDescent="0.35">
      <c r="A148" s="3">
        <v>147</v>
      </c>
      <c r="B148" s="3">
        <v>0</v>
      </c>
      <c r="C148" s="3" t="s">
        <v>172</v>
      </c>
      <c r="D148" s="3" t="s">
        <v>27</v>
      </c>
      <c r="E148" s="3" t="s">
        <v>28</v>
      </c>
      <c r="F148" s="3" t="s">
        <v>34</v>
      </c>
      <c r="G148" s="3" t="s">
        <v>50</v>
      </c>
      <c r="H148" s="3" t="s">
        <v>43</v>
      </c>
      <c r="I148" s="3" t="s">
        <v>32</v>
      </c>
      <c r="J148" s="3">
        <v>97</v>
      </c>
      <c r="K148" s="3">
        <v>173.5</v>
      </c>
      <c r="L148" s="3">
        <v>65.400000000000006</v>
      </c>
      <c r="M148" s="3">
        <v>53</v>
      </c>
      <c r="N148" s="3">
        <v>2290</v>
      </c>
      <c r="O148" s="3" t="s">
        <v>157</v>
      </c>
      <c r="P148" s="3" t="s">
        <v>34</v>
      </c>
      <c r="Q148" s="3">
        <v>108</v>
      </c>
      <c r="R148" s="3" t="s">
        <v>63</v>
      </c>
      <c r="S148" s="3">
        <v>3.62</v>
      </c>
      <c r="T148" s="3">
        <v>2.64</v>
      </c>
      <c r="U148" s="3">
        <v>9</v>
      </c>
      <c r="V148" s="3">
        <v>82</v>
      </c>
      <c r="W148" s="3">
        <v>4800</v>
      </c>
      <c r="X148" s="3">
        <v>28</v>
      </c>
      <c r="Y148" s="3">
        <v>32</v>
      </c>
      <c r="Z148" s="3">
        <v>7463</v>
      </c>
      <c r="AA148">
        <f t="shared" si="2"/>
        <v>6716.7</v>
      </c>
    </row>
    <row r="149" spans="1:27" x14ac:dyDescent="0.35">
      <c r="A149" s="3">
        <v>148</v>
      </c>
      <c r="B149" s="3">
        <v>0</v>
      </c>
      <c r="C149" s="3" t="s">
        <v>173</v>
      </c>
      <c r="D149" s="3" t="s">
        <v>27</v>
      </c>
      <c r="E149" s="3" t="s">
        <v>28</v>
      </c>
      <c r="F149" s="3" t="s">
        <v>34</v>
      </c>
      <c r="G149" s="3" t="s">
        <v>50</v>
      </c>
      <c r="H149" s="3" t="s">
        <v>43</v>
      </c>
      <c r="I149" s="3" t="s">
        <v>32</v>
      </c>
      <c r="J149" s="3">
        <v>97</v>
      </c>
      <c r="K149" s="3">
        <v>173.5</v>
      </c>
      <c r="L149" s="3">
        <v>65.400000000000006</v>
      </c>
      <c r="M149" s="3">
        <v>53</v>
      </c>
      <c r="N149" s="3">
        <v>2455</v>
      </c>
      <c r="O149" s="3" t="s">
        <v>157</v>
      </c>
      <c r="P149" s="3" t="s">
        <v>34</v>
      </c>
      <c r="Q149" s="3">
        <v>108</v>
      </c>
      <c r="R149" s="3" t="s">
        <v>35</v>
      </c>
      <c r="S149" s="3">
        <v>3.62</v>
      </c>
      <c r="T149" s="3">
        <v>2.64</v>
      </c>
      <c r="U149" s="3">
        <v>9</v>
      </c>
      <c r="V149" s="3">
        <v>94</v>
      </c>
      <c r="W149" s="3">
        <v>5200</v>
      </c>
      <c r="X149" s="3">
        <v>25</v>
      </c>
      <c r="Y149" s="3">
        <v>31</v>
      </c>
      <c r="Z149" s="3">
        <v>10198</v>
      </c>
      <c r="AA149">
        <f t="shared" si="2"/>
        <v>9178.2000000000007</v>
      </c>
    </row>
    <row r="150" spans="1:27" x14ac:dyDescent="0.35">
      <c r="A150" s="3">
        <v>149</v>
      </c>
      <c r="B150" s="3">
        <v>0</v>
      </c>
      <c r="C150" s="3" t="s">
        <v>167</v>
      </c>
      <c r="D150" s="3" t="s">
        <v>27</v>
      </c>
      <c r="E150" s="3" t="s">
        <v>28</v>
      </c>
      <c r="F150" s="3" t="s">
        <v>34</v>
      </c>
      <c r="G150" s="3" t="s">
        <v>50</v>
      </c>
      <c r="H150" s="3" t="s">
        <v>46</v>
      </c>
      <c r="I150" s="3" t="s">
        <v>32</v>
      </c>
      <c r="J150" s="3">
        <v>96.9</v>
      </c>
      <c r="K150" s="3">
        <v>173.6</v>
      </c>
      <c r="L150" s="3">
        <v>65.400000000000006</v>
      </c>
      <c r="M150" s="3">
        <v>54.9</v>
      </c>
      <c r="N150" s="3">
        <v>2420</v>
      </c>
      <c r="O150" s="3" t="s">
        <v>157</v>
      </c>
      <c r="P150" s="3" t="s">
        <v>34</v>
      </c>
      <c r="Q150" s="3">
        <v>108</v>
      </c>
      <c r="R150" s="3" t="s">
        <v>63</v>
      </c>
      <c r="S150" s="3">
        <v>3.62</v>
      </c>
      <c r="T150" s="3">
        <v>2.64</v>
      </c>
      <c r="U150" s="3">
        <v>9</v>
      </c>
      <c r="V150" s="3">
        <v>82</v>
      </c>
      <c r="W150" s="3">
        <v>4800</v>
      </c>
      <c r="X150" s="3">
        <v>23</v>
      </c>
      <c r="Y150" s="3">
        <v>29</v>
      </c>
      <c r="Z150" s="3">
        <v>8013</v>
      </c>
      <c r="AA150">
        <f t="shared" si="2"/>
        <v>7211.7</v>
      </c>
    </row>
    <row r="151" spans="1:27" x14ac:dyDescent="0.35">
      <c r="A151" s="3">
        <v>150</v>
      </c>
      <c r="B151" s="3">
        <v>0</v>
      </c>
      <c r="C151" s="3" t="s">
        <v>167</v>
      </c>
      <c r="D151" s="3" t="s">
        <v>27</v>
      </c>
      <c r="E151" s="3" t="s">
        <v>52</v>
      </c>
      <c r="F151" s="3" t="s">
        <v>34</v>
      </c>
      <c r="G151" s="3" t="s">
        <v>50</v>
      </c>
      <c r="H151" s="3" t="s">
        <v>46</v>
      </c>
      <c r="I151" s="3" t="s">
        <v>32</v>
      </c>
      <c r="J151" s="3">
        <v>96.9</v>
      </c>
      <c r="K151" s="3">
        <v>173.6</v>
      </c>
      <c r="L151" s="3">
        <v>65.400000000000006</v>
      </c>
      <c r="M151" s="3">
        <v>54.9</v>
      </c>
      <c r="N151" s="3">
        <v>2650</v>
      </c>
      <c r="O151" s="3" t="s">
        <v>157</v>
      </c>
      <c r="P151" s="3" t="s">
        <v>34</v>
      </c>
      <c r="Q151" s="3">
        <v>108</v>
      </c>
      <c r="R151" s="3" t="s">
        <v>35</v>
      </c>
      <c r="S151" s="3">
        <v>3.62</v>
      </c>
      <c r="T151" s="3">
        <v>2.64</v>
      </c>
      <c r="U151" s="3">
        <v>7.7</v>
      </c>
      <c r="V151" s="3">
        <v>111</v>
      </c>
      <c r="W151" s="3">
        <v>4800</v>
      </c>
      <c r="X151" s="3">
        <v>23</v>
      </c>
      <c r="Y151" s="3">
        <v>23</v>
      </c>
      <c r="Z151" s="3">
        <v>11694</v>
      </c>
      <c r="AA151">
        <f t="shared" si="2"/>
        <v>10524.6</v>
      </c>
    </row>
    <row r="152" spans="1:27" x14ac:dyDescent="0.35">
      <c r="A152" s="3">
        <v>151</v>
      </c>
      <c r="B152" s="3">
        <v>1</v>
      </c>
      <c r="C152" s="3" t="s">
        <v>174</v>
      </c>
      <c r="D152" s="3" t="s">
        <v>27</v>
      </c>
      <c r="E152" s="3" t="s">
        <v>28</v>
      </c>
      <c r="F152" s="3" t="s">
        <v>29</v>
      </c>
      <c r="G152" s="3" t="s">
        <v>38</v>
      </c>
      <c r="H152" s="3" t="s">
        <v>43</v>
      </c>
      <c r="I152" s="3" t="s">
        <v>32</v>
      </c>
      <c r="J152" s="3">
        <v>95.7</v>
      </c>
      <c r="K152" s="3">
        <v>158.69999999999999</v>
      </c>
      <c r="L152" s="3">
        <v>63.6</v>
      </c>
      <c r="M152" s="3">
        <v>54.5</v>
      </c>
      <c r="N152" s="3">
        <v>1985</v>
      </c>
      <c r="O152" s="3" t="s">
        <v>44</v>
      </c>
      <c r="P152" s="3" t="s">
        <v>34</v>
      </c>
      <c r="Q152" s="3">
        <v>92</v>
      </c>
      <c r="R152" s="3" t="s">
        <v>63</v>
      </c>
      <c r="S152" s="3">
        <v>3.05</v>
      </c>
      <c r="T152" s="3">
        <v>3.03</v>
      </c>
      <c r="U152" s="3">
        <v>9</v>
      </c>
      <c r="V152" s="3">
        <v>62</v>
      </c>
      <c r="W152" s="3">
        <v>4800</v>
      </c>
      <c r="X152" s="3">
        <v>35</v>
      </c>
      <c r="Y152" s="3">
        <v>39</v>
      </c>
      <c r="Z152" s="3">
        <v>5348</v>
      </c>
      <c r="AA152">
        <f t="shared" si="2"/>
        <v>4813.2</v>
      </c>
    </row>
    <row r="153" spans="1:27" x14ac:dyDescent="0.35">
      <c r="A153" s="3">
        <v>152</v>
      </c>
      <c r="B153" s="3">
        <v>1</v>
      </c>
      <c r="C153" s="3" t="s">
        <v>175</v>
      </c>
      <c r="D153" s="3" t="s">
        <v>27</v>
      </c>
      <c r="E153" s="3" t="s">
        <v>28</v>
      </c>
      <c r="F153" s="3" t="s">
        <v>29</v>
      </c>
      <c r="G153" s="3" t="s">
        <v>38</v>
      </c>
      <c r="H153" s="3" t="s">
        <v>43</v>
      </c>
      <c r="I153" s="3" t="s">
        <v>32</v>
      </c>
      <c r="J153" s="3">
        <v>95.7</v>
      </c>
      <c r="K153" s="3">
        <v>158.69999999999999</v>
      </c>
      <c r="L153" s="3">
        <v>63.6</v>
      </c>
      <c r="M153" s="3">
        <v>54.5</v>
      </c>
      <c r="N153" s="3">
        <v>2040</v>
      </c>
      <c r="O153" s="3" t="s">
        <v>44</v>
      </c>
      <c r="P153" s="3" t="s">
        <v>34</v>
      </c>
      <c r="Q153" s="3">
        <v>92</v>
      </c>
      <c r="R153" s="3" t="s">
        <v>63</v>
      </c>
      <c r="S153" s="3">
        <v>3.05</v>
      </c>
      <c r="T153" s="3">
        <v>3.03</v>
      </c>
      <c r="U153" s="3">
        <v>9</v>
      </c>
      <c r="V153" s="3">
        <v>62</v>
      </c>
      <c r="W153" s="3">
        <v>4800</v>
      </c>
      <c r="X153" s="3">
        <v>31</v>
      </c>
      <c r="Y153" s="3">
        <v>38</v>
      </c>
      <c r="Z153" s="3">
        <v>6338</v>
      </c>
      <c r="AA153">
        <f t="shared" si="2"/>
        <v>5704.2</v>
      </c>
    </row>
    <row r="154" spans="1:27" x14ac:dyDescent="0.35">
      <c r="A154" s="3">
        <v>153</v>
      </c>
      <c r="B154" s="3">
        <v>1</v>
      </c>
      <c r="C154" s="3" t="s">
        <v>176</v>
      </c>
      <c r="D154" s="3" t="s">
        <v>27</v>
      </c>
      <c r="E154" s="3" t="s">
        <v>28</v>
      </c>
      <c r="F154" s="3" t="s">
        <v>34</v>
      </c>
      <c r="G154" s="3" t="s">
        <v>38</v>
      </c>
      <c r="H154" s="3" t="s">
        <v>43</v>
      </c>
      <c r="I154" s="3" t="s">
        <v>32</v>
      </c>
      <c r="J154" s="3">
        <v>95.7</v>
      </c>
      <c r="K154" s="3">
        <v>158.69999999999999</v>
      </c>
      <c r="L154" s="3">
        <v>63.6</v>
      </c>
      <c r="M154" s="3">
        <v>54.5</v>
      </c>
      <c r="N154" s="3">
        <v>2015</v>
      </c>
      <c r="O154" s="3" t="s">
        <v>44</v>
      </c>
      <c r="P154" s="3" t="s">
        <v>34</v>
      </c>
      <c r="Q154" s="3">
        <v>92</v>
      </c>
      <c r="R154" s="3" t="s">
        <v>63</v>
      </c>
      <c r="S154" s="3">
        <v>3.05</v>
      </c>
      <c r="T154" s="3">
        <v>3.03</v>
      </c>
      <c r="U154" s="3">
        <v>9</v>
      </c>
      <c r="V154" s="3">
        <v>62</v>
      </c>
      <c r="W154" s="3">
        <v>4800</v>
      </c>
      <c r="X154" s="3">
        <v>31</v>
      </c>
      <c r="Y154" s="3">
        <v>38</v>
      </c>
      <c r="Z154" s="3">
        <v>6488</v>
      </c>
      <c r="AA154">
        <f t="shared" si="2"/>
        <v>5839.2</v>
      </c>
    </row>
    <row r="155" spans="1:27" x14ac:dyDescent="0.35">
      <c r="A155" s="3">
        <v>154</v>
      </c>
      <c r="B155" s="3">
        <v>0</v>
      </c>
      <c r="C155" s="3" t="s">
        <v>177</v>
      </c>
      <c r="D155" s="3" t="s">
        <v>27</v>
      </c>
      <c r="E155" s="3" t="s">
        <v>28</v>
      </c>
      <c r="F155" s="3" t="s">
        <v>34</v>
      </c>
      <c r="G155" s="3" t="s">
        <v>50</v>
      </c>
      <c r="H155" s="3" t="s">
        <v>43</v>
      </c>
      <c r="I155" s="3" t="s">
        <v>32</v>
      </c>
      <c r="J155" s="3">
        <v>95.7</v>
      </c>
      <c r="K155" s="3">
        <v>169.7</v>
      </c>
      <c r="L155" s="3">
        <v>63.6</v>
      </c>
      <c r="M155" s="3">
        <v>59.1</v>
      </c>
      <c r="N155" s="3">
        <v>2280</v>
      </c>
      <c r="O155" s="3" t="s">
        <v>44</v>
      </c>
      <c r="P155" s="3" t="s">
        <v>34</v>
      </c>
      <c r="Q155" s="3">
        <v>92</v>
      </c>
      <c r="R155" s="3" t="s">
        <v>63</v>
      </c>
      <c r="S155" s="3">
        <v>3.05</v>
      </c>
      <c r="T155" s="3">
        <v>3.03</v>
      </c>
      <c r="U155" s="3">
        <v>9</v>
      </c>
      <c r="V155" s="3">
        <v>62</v>
      </c>
      <c r="W155" s="3">
        <v>4800</v>
      </c>
      <c r="X155" s="3">
        <v>31</v>
      </c>
      <c r="Y155" s="3">
        <v>37</v>
      </c>
      <c r="Z155" s="3">
        <v>6918</v>
      </c>
      <c r="AA155">
        <f t="shared" si="2"/>
        <v>6226.2</v>
      </c>
    </row>
    <row r="156" spans="1:27" x14ac:dyDescent="0.35">
      <c r="A156" s="3">
        <v>155</v>
      </c>
      <c r="B156" s="3">
        <v>0</v>
      </c>
      <c r="C156" s="3" t="s">
        <v>178</v>
      </c>
      <c r="D156" s="3" t="s">
        <v>27</v>
      </c>
      <c r="E156" s="3" t="s">
        <v>28</v>
      </c>
      <c r="F156" s="3" t="s">
        <v>34</v>
      </c>
      <c r="G156" s="3" t="s">
        <v>50</v>
      </c>
      <c r="H156" s="3" t="s">
        <v>46</v>
      </c>
      <c r="I156" s="3" t="s">
        <v>32</v>
      </c>
      <c r="J156" s="3">
        <v>95.7</v>
      </c>
      <c r="K156" s="3">
        <v>169.7</v>
      </c>
      <c r="L156" s="3">
        <v>63.6</v>
      </c>
      <c r="M156" s="3">
        <v>59.1</v>
      </c>
      <c r="N156" s="3">
        <v>2290</v>
      </c>
      <c r="O156" s="3" t="s">
        <v>44</v>
      </c>
      <c r="P156" s="3" t="s">
        <v>34</v>
      </c>
      <c r="Q156" s="3">
        <v>92</v>
      </c>
      <c r="R156" s="3" t="s">
        <v>63</v>
      </c>
      <c r="S156" s="3">
        <v>3.05</v>
      </c>
      <c r="T156" s="3">
        <v>3.03</v>
      </c>
      <c r="U156" s="3">
        <v>9</v>
      </c>
      <c r="V156" s="3">
        <v>62</v>
      </c>
      <c r="W156" s="3">
        <v>4800</v>
      </c>
      <c r="X156" s="3">
        <v>27</v>
      </c>
      <c r="Y156" s="3">
        <v>32</v>
      </c>
      <c r="Z156" s="3">
        <v>7898</v>
      </c>
      <c r="AA156">
        <f t="shared" si="2"/>
        <v>7108.2</v>
      </c>
    </row>
    <row r="157" spans="1:27" x14ac:dyDescent="0.35">
      <c r="A157" s="3">
        <v>156</v>
      </c>
      <c r="B157" s="3">
        <v>0</v>
      </c>
      <c r="C157" s="3" t="s">
        <v>179</v>
      </c>
      <c r="D157" s="3" t="s">
        <v>27</v>
      </c>
      <c r="E157" s="3" t="s">
        <v>28</v>
      </c>
      <c r="F157" s="3" t="s">
        <v>34</v>
      </c>
      <c r="G157" s="3" t="s">
        <v>50</v>
      </c>
      <c r="H157" s="3" t="s">
        <v>46</v>
      </c>
      <c r="I157" s="3" t="s">
        <v>32</v>
      </c>
      <c r="J157" s="3">
        <v>95.7</v>
      </c>
      <c r="K157" s="3">
        <v>169.7</v>
      </c>
      <c r="L157" s="3">
        <v>63.6</v>
      </c>
      <c r="M157" s="3">
        <v>59.1</v>
      </c>
      <c r="N157" s="3">
        <v>3110</v>
      </c>
      <c r="O157" s="3" t="s">
        <v>44</v>
      </c>
      <c r="P157" s="3" t="s">
        <v>34</v>
      </c>
      <c r="Q157" s="3">
        <v>92</v>
      </c>
      <c r="R157" s="3" t="s">
        <v>63</v>
      </c>
      <c r="S157" s="3">
        <v>3.05</v>
      </c>
      <c r="T157" s="3">
        <v>3.03</v>
      </c>
      <c r="U157" s="3">
        <v>9</v>
      </c>
      <c r="V157" s="3">
        <v>62</v>
      </c>
      <c r="W157" s="3">
        <v>4800</v>
      </c>
      <c r="X157" s="3">
        <v>27</v>
      </c>
      <c r="Y157" s="3">
        <v>32</v>
      </c>
      <c r="Z157" s="3">
        <v>8778</v>
      </c>
      <c r="AA157">
        <f t="shared" si="2"/>
        <v>7900.2</v>
      </c>
    </row>
    <row r="158" spans="1:27" x14ac:dyDescent="0.35">
      <c r="A158" s="3">
        <v>157</v>
      </c>
      <c r="B158" s="3">
        <v>0</v>
      </c>
      <c r="C158" s="3" t="s">
        <v>180</v>
      </c>
      <c r="D158" s="3" t="s">
        <v>27</v>
      </c>
      <c r="E158" s="3" t="s">
        <v>28</v>
      </c>
      <c r="F158" s="3" t="s">
        <v>34</v>
      </c>
      <c r="G158" s="3" t="s">
        <v>42</v>
      </c>
      <c r="H158" s="3" t="s">
        <v>43</v>
      </c>
      <c r="I158" s="3" t="s">
        <v>32</v>
      </c>
      <c r="J158" s="3">
        <v>95.7</v>
      </c>
      <c r="K158" s="3">
        <v>166.3</v>
      </c>
      <c r="L158" s="3">
        <v>64.400000000000006</v>
      </c>
      <c r="M158" s="3">
        <v>53</v>
      </c>
      <c r="N158" s="3">
        <v>2081</v>
      </c>
      <c r="O158" s="3" t="s">
        <v>44</v>
      </c>
      <c r="P158" s="3" t="s">
        <v>34</v>
      </c>
      <c r="Q158" s="3">
        <v>98</v>
      </c>
      <c r="R158" s="3" t="s">
        <v>63</v>
      </c>
      <c r="S158" s="3">
        <v>3.19</v>
      </c>
      <c r="T158" s="3">
        <v>3.03</v>
      </c>
      <c r="U158" s="3">
        <v>9</v>
      </c>
      <c r="V158" s="3">
        <v>70</v>
      </c>
      <c r="W158" s="3">
        <v>4800</v>
      </c>
      <c r="X158" s="3">
        <v>30</v>
      </c>
      <c r="Y158" s="3">
        <v>37</v>
      </c>
      <c r="Z158" s="3">
        <v>6938</v>
      </c>
      <c r="AA158">
        <f t="shared" si="2"/>
        <v>6244.2</v>
      </c>
    </row>
    <row r="159" spans="1:27" x14ac:dyDescent="0.35">
      <c r="A159" s="3">
        <v>158</v>
      </c>
      <c r="B159" s="3">
        <v>0</v>
      </c>
      <c r="C159" s="3" t="s">
        <v>176</v>
      </c>
      <c r="D159" s="3" t="s">
        <v>27</v>
      </c>
      <c r="E159" s="3" t="s">
        <v>28</v>
      </c>
      <c r="F159" s="3" t="s">
        <v>34</v>
      </c>
      <c r="G159" s="3" t="s">
        <v>38</v>
      </c>
      <c r="H159" s="3" t="s">
        <v>43</v>
      </c>
      <c r="I159" s="3" t="s">
        <v>32</v>
      </c>
      <c r="J159" s="3">
        <v>95.7</v>
      </c>
      <c r="K159" s="3">
        <v>166.3</v>
      </c>
      <c r="L159" s="3">
        <v>64.400000000000006</v>
      </c>
      <c r="M159" s="3">
        <v>52.8</v>
      </c>
      <c r="N159" s="3">
        <v>2109</v>
      </c>
      <c r="O159" s="3" t="s">
        <v>44</v>
      </c>
      <c r="P159" s="3" t="s">
        <v>34</v>
      </c>
      <c r="Q159" s="3">
        <v>98</v>
      </c>
      <c r="R159" s="3" t="s">
        <v>63</v>
      </c>
      <c r="S159" s="3">
        <v>3.19</v>
      </c>
      <c r="T159" s="3">
        <v>3.03</v>
      </c>
      <c r="U159" s="3">
        <v>9</v>
      </c>
      <c r="V159" s="3">
        <v>70</v>
      </c>
      <c r="W159" s="3">
        <v>4800</v>
      </c>
      <c r="X159" s="3">
        <v>30</v>
      </c>
      <c r="Y159" s="3">
        <v>37</v>
      </c>
      <c r="Z159" s="3">
        <v>7198</v>
      </c>
      <c r="AA159">
        <f t="shared" si="2"/>
        <v>6478.2</v>
      </c>
    </row>
    <row r="160" spans="1:27" x14ac:dyDescent="0.35">
      <c r="A160" s="3">
        <v>159</v>
      </c>
      <c r="B160" s="3">
        <v>0</v>
      </c>
      <c r="C160" s="3" t="s">
        <v>175</v>
      </c>
      <c r="D160" s="3" t="s">
        <v>107</v>
      </c>
      <c r="E160" s="3" t="s">
        <v>28</v>
      </c>
      <c r="F160" s="3" t="s">
        <v>34</v>
      </c>
      <c r="G160" s="3" t="s">
        <v>42</v>
      </c>
      <c r="H160" s="3" t="s">
        <v>43</v>
      </c>
      <c r="I160" s="3" t="s">
        <v>32</v>
      </c>
      <c r="J160" s="3">
        <v>95.7</v>
      </c>
      <c r="K160" s="3">
        <v>166.3</v>
      </c>
      <c r="L160" s="3">
        <v>64.400000000000006</v>
      </c>
      <c r="M160" s="3">
        <v>53</v>
      </c>
      <c r="N160" s="3">
        <v>2275</v>
      </c>
      <c r="O160" s="3" t="s">
        <v>44</v>
      </c>
      <c r="P160" s="3" t="s">
        <v>34</v>
      </c>
      <c r="Q160" s="3">
        <v>110</v>
      </c>
      <c r="R160" s="3" t="s">
        <v>108</v>
      </c>
      <c r="S160" s="3">
        <v>3.27</v>
      </c>
      <c r="T160" s="3">
        <v>3.35</v>
      </c>
      <c r="U160" s="3">
        <v>22.5</v>
      </c>
      <c r="V160" s="3">
        <v>56</v>
      </c>
      <c r="W160" s="3">
        <v>4500</v>
      </c>
      <c r="X160" s="3">
        <v>34</v>
      </c>
      <c r="Y160" s="3">
        <v>36</v>
      </c>
      <c r="Z160" s="3">
        <v>7898</v>
      </c>
      <c r="AA160">
        <f t="shared" si="2"/>
        <v>7108.2</v>
      </c>
    </row>
    <row r="161" spans="1:27" x14ac:dyDescent="0.35">
      <c r="A161" s="3">
        <v>160</v>
      </c>
      <c r="B161" s="3">
        <v>0</v>
      </c>
      <c r="C161" s="3" t="s">
        <v>181</v>
      </c>
      <c r="D161" s="3" t="s">
        <v>107</v>
      </c>
      <c r="E161" s="3" t="s">
        <v>28</v>
      </c>
      <c r="F161" s="3" t="s">
        <v>34</v>
      </c>
      <c r="G161" s="3" t="s">
        <v>38</v>
      </c>
      <c r="H161" s="3" t="s">
        <v>43</v>
      </c>
      <c r="I161" s="3" t="s">
        <v>32</v>
      </c>
      <c r="J161" s="3">
        <v>95.7</v>
      </c>
      <c r="K161" s="3">
        <v>166.3</v>
      </c>
      <c r="L161" s="3">
        <v>64.400000000000006</v>
      </c>
      <c r="M161" s="3">
        <v>52.8</v>
      </c>
      <c r="N161" s="3">
        <v>2275</v>
      </c>
      <c r="O161" s="3" t="s">
        <v>44</v>
      </c>
      <c r="P161" s="3" t="s">
        <v>34</v>
      </c>
      <c r="Q161" s="3">
        <v>110</v>
      </c>
      <c r="R161" s="3" t="s">
        <v>108</v>
      </c>
      <c r="S161" s="3">
        <v>3.27</v>
      </c>
      <c r="T161" s="3">
        <v>3.35</v>
      </c>
      <c r="U161" s="3">
        <v>22.5</v>
      </c>
      <c r="V161" s="3">
        <v>56</v>
      </c>
      <c r="W161" s="3">
        <v>4500</v>
      </c>
      <c r="X161" s="3">
        <v>38</v>
      </c>
      <c r="Y161" s="3">
        <v>47</v>
      </c>
      <c r="Z161" s="3">
        <v>7788</v>
      </c>
      <c r="AA161">
        <f t="shared" si="2"/>
        <v>7009.2</v>
      </c>
    </row>
    <row r="162" spans="1:27" x14ac:dyDescent="0.35">
      <c r="A162" s="3">
        <v>161</v>
      </c>
      <c r="B162" s="3">
        <v>0</v>
      </c>
      <c r="C162" s="3" t="s">
        <v>175</v>
      </c>
      <c r="D162" s="3" t="s">
        <v>27</v>
      </c>
      <c r="E162" s="3" t="s">
        <v>28</v>
      </c>
      <c r="F162" s="3" t="s">
        <v>34</v>
      </c>
      <c r="G162" s="3" t="s">
        <v>42</v>
      </c>
      <c r="H162" s="3" t="s">
        <v>43</v>
      </c>
      <c r="I162" s="3" t="s">
        <v>32</v>
      </c>
      <c r="J162" s="3">
        <v>95.7</v>
      </c>
      <c r="K162" s="3">
        <v>166.3</v>
      </c>
      <c r="L162" s="3">
        <v>64.400000000000006</v>
      </c>
      <c r="M162" s="3">
        <v>53</v>
      </c>
      <c r="N162" s="3">
        <v>2094</v>
      </c>
      <c r="O162" s="3" t="s">
        <v>44</v>
      </c>
      <c r="P162" s="3" t="s">
        <v>34</v>
      </c>
      <c r="Q162" s="3">
        <v>98</v>
      </c>
      <c r="R162" s="3" t="s">
        <v>63</v>
      </c>
      <c r="S162" s="3">
        <v>3.19</v>
      </c>
      <c r="T162" s="3">
        <v>3.03</v>
      </c>
      <c r="U162" s="3">
        <v>9</v>
      </c>
      <c r="V162" s="3">
        <v>70</v>
      </c>
      <c r="W162" s="3">
        <v>4800</v>
      </c>
      <c r="X162" s="3">
        <v>38</v>
      </c>
      <c r="Y162" s="3">
        <v>47</v>
      </c>
      <c r="Z162" s="3">
        <v>7738</v>
      </c>
      <c r="AA162">
        <f t="shared" si="2"/>
        <v>6964.2</v>
      </c>
    </row>
    <row r="163" spans="1:27" x14ac:dyDescent="0.35">
      <c r="A163" s="3">
        <v>162</v>
      </c>
      <c r="B163" s="3">
        <v>0</v>
      </c>
      <c r="C163" s="3" t="s">
        <v>181</v>
      </c>
      <c r="D163" s="3" t="s">
        <v>27</v>
      </c>
      <c r="E163" s="3" t="s">
        <v>28</v>
      </c>
      <c r="F163" s="3" t="s">
        <v>34</v>
      </c>
      <c r="G163" s="3" t="s">
        <v>38</v>
      </c>
      <c r="H163" s="3" t="s">
        <v>43</v>
      </c>
      <c r="I163" s="3" t="s">
        <v>32</v>
      </c>
      <c r="J163" s="3">
        <v>95.7</v>
      </c>
      <c r="K163" s="3">
        <v>166.3</v>
      </c>
      <c r="L163" s="3">
        <v>64.400000000000006</v>
      </c>
      <c r="M163" s="3">
        <v>52.8</v>
      </c>
      <c r="N163" s="3">
        <v>2122</v>
      </c>
      <c r="O163" s="3" t="s">
        <v>44</v>
      </c>
      <c r="P163" s="3" t="s">
        <v>34</v>
      </c>
      <c r="Q163" s="3">
        <v>98</v>
      </c>
      <c r="R163" s="3" t="s">
        <v>63</v>
      </c>
      <c r="S163" s="3">
        <v>3.19</v>
      </c>
      <c r="T163" s="3">
        <v>3.03</v>
      </c>
      <c r="U163" s="3">
        <v>9</v>
      </c>
      <c r="V163" s="3">
        <v>70</v>
      </c>
      <c r="W163" s="3">
        <v>4800</v>
      </c>
      <c r="X163" s="3">
        <v>28</v>
      </c>
      <c r="Y163" s="3">
        <v>34</v>
      </c>
      <c r="Z163" s="3">
        <v>8358</v>
      </c>
      <c r="AA163">
        <f t="shared" si="2"/>
        <v>7522.2</v>
      </c>
    </row>
    <row r="164" spans="1:27" x14ac:dyDescent="0.35">
      <c r="A164" s="3">
        <v>163</v>
      </c>
      <c r="B164" s="3">
        <v>0</v>
      </c>
      <c r="C164" s="3" t="s">
        <v>180</v>
      </c>
      <c r="D164" s="3" t="s">
        <v>27</v>
      </c>
      <c r="E164" s="3" t="s">
        <v>28</v>
      </c>
      <c r="F164" s="3" t="s">
        <v>34</v>
      </c>
      <c r="G164" s="3" t="s">
        <v>42</v>
      </c>
      <c r="H164" s="3" t="s">
        <v>43</v>
      </c>
      <c r="I164" s="3" t="s">
        <v>32</v>
      </c>
      <c r="J164" s="3">
        <v>95.7</v>
      </c>
      <c r="K164" s="3">
        <v>166.3</v>
      </c>
      <c r="L164" s="3">
        <v>64.400000000000006</v>
      </c>
      <c r="M164" s="3">
        <v>52.8</v>
      </c>
      <c r="N164" s="3">
        <v>2140</v>
      </c>
      <c r="O164" s="3" t="s">
        <v>44</v>
      </c>
      <c r="P164" s="3" t="s">
        <v>34</v>
      </c>
      <c r="Q164" s="3">
        <v>98</v>
      </c>
      <c r="R164" s="3" t="s">
        <v>63</v>
      </c>
      <c r="S164" s="3">
        <v>3.19</v>
      </c>
      <c r="T164" s="3">
        <v>3.03</v>
      </c>
      <c r="U164" s="3">
        <v>9</v>
      </c>
      <c r="V164" s="3">
        <v>70</v>
      </c>
      <c r="W164" s="3">
        <v>4800</v>
      </c>
      <c r="X164" s="3">
        <v>28</v>
      </c>
      <c r="Y164" s="3">
        <v>34</v>
      </c>
      <c r="Z164" s="3">
        <v>9258</v>
      </c>
      <c r="AA164">
        <f t="shared" si="2"/>
        <v>8332.2000000000007</v>
      </c>
    </row>
    <row r="165" spans="1:27" x14ac:dyDescent="0.35">
      <c r="A165" s="3">
        <v>164</v>
      </c>
      <c r="B165" s="3">
        <v>1</v>
      </c>
      <c r="C165" s="3" t="s">
        <v>182</v>
      </c>
      <c r="D165" s="3" t="s">
        <v>27</v>
      </c>
      <c r="E165" s="3" t="s">
        <v>28</v>
      </c>
      <c r="F165" s="3" t="s">
        <v>29</v>
      </c>
      <c r="G165" s="3" t="s">
        <v>42</v>
      </c>
      <c r="H165" s="3" t="s">
        <v>31</v>
      </c>
      <c r="I165" s="3" t="s">
        <v>32</v>
      </c>
      <c r="J165" s="3">
        <v>94.5</v>
      </c>
      <c r="K165" s="3">
        <v>168.7</v>
      </c>
      <c r="L165" s="3">
        <v>64</v>
      </c>
      <c r="M165" s="3">
        <v>52.6</v>
      </c>
      <c r="N165" s="3">
        <v>2169</v>
      </c>
      <c r="O165" s="3" t="s">
        <v>44</v>
      </c>
      <c r="P165" s="3" t="s">
        <v>34</v>
      </c>
      <c r="Q165" s="3">
        <v>98</v>
      </c>
      <c r="R165" s="3" t="s">
        <v>63</v>
      </c>
      <c r="S165" s="3">
        <v>3.19</v>
      </c>
      <c r="T165" s="3">
        <v>3.03</v>
      </c>
      <c r="U165" s="3">
        <v>9</v>
      </c>
      <c r="V165" s="3">
        <v>70</v>
      </c>
      <c r="W165" s="3">
        <v>4800</v>
      </c>
      <c r="X165" s="3">
        <v>29</v>
      </c>
      <c r="Y165" s="3">
        <v>34</v>
      </c>
      <c r="Z165" s="3">
        <v>8058</v>
      </c>
      <c r="AA165">
        <f t="shared" si="2"/>
        <v>7252.2</v>
      </c>
    </row>
    <row r="166" spans="1:27" x14ac:dyDescent="0.35">
      <c r="A166" s="3">
        <v>165</v>
      </c>
      <c r="B166" s="3">
        <v>1</v>
      </c>
      <c r="C166" s="3" t="s">
        <v>175</v>
      </c>
      <c r="D166" s="3" t="s">
        <v>27</v>
      </c>
      <c r="E166" s="3" t="s">
        <v>28</v>
      </c>
      <c r="F166" s="3" t="s">
        <v>29</v>
      </c>
      <c r="G166" s="3" t="s">
        <v>38</v>
      </c>
      <c r="H166" s="3" t="s">
        <v>31</v>
      </c>
      <c r="I166" s="3" t="s">
        <v>32</v>
      </c>
      <c r="J166" s="3">
        <v>94.5</v>
      </c>
      <c r="K166" s="3">
        <v>168.7</v>
      </c>
      <c r="L166" s="3">
        <v>64</v>
      </c>
      <c r="M166" s="3">
        <v>52.6</v>
      </c>
      <c r="N166" s="3">
        <v>2204</v>
      </c>
      <c r="O166" s="3" t="s">
        <v>44</v>
      </c>
      <c r="P166" s="3" t="s">
        <v>34</v>
      </c>
      <c r="Q166" s="3">
        <v>98</v>
      </c>
      <c r="R166" s="3" t="s">
        <v>63</v>
      </c>
      <c r="S166" s="3">
        <v>3.19</v>
      </c>
      <c r="T166" s="3">
        <v>3.03</v>
      </c>
      <c r="U166" s="3">
        <v>9</v>
      </c>
      <c r="V166" s="3">
        <v>70</v>
      </c>
      <c r="W166" s="3">
        <v>4800</v>
      </c>
      <c r="X166" s="3">
        <v>29</v>
      </c>
      <c r="Y166" s="3">
        <v>34</v>
      </c>
      <c r="Z166" s="3">
        <v>8238</v>
      </c>
      <c r="AA166">
        <f t="shared" si="2"/>
        <v>7414.2</v>
      </c>
    </row>
    <row r="167" spans="1:27" x14ac:dyDescent="0.35">
      <c r="A167" s="3">
        <v>166</v>
      </c>
      <c r="B167" s="3">
        <v>1</v>
      </c>
      <c r="C167" s="3" t="s">
        <v>183</v>
      </c>
      <c r="D167" s="3" t="s">
        <v>27</v>
      </c>
      <c r="E167" s="3" t="s">
        <v>28</v>
      </c>
      <c r="F167" s="3" t="s">
        <v>29</v>
      </c>
      <c r="G167" s="3" t="s">
        <v>42</v>
      </c>
      <c r="H167" s="3" t="s">
        <v>31</v>
      </c>
      <c r="I167" s="3" t="s">
        <v>32</v>
      </c>
      <c r="J167" s="3">
        <v>94.5</v>
      </c>
      <c r="K167" s="3">
        <v>168.7</v>
      </c>
      <c r="L167" s="3">
        <v>64</v>
      </c>
      <c r="M167" s="3">
        <v>52.6</v>
      </c>
      <c r="N167" s="3">
        <v>2265</v>
      </c>
      <c r="O167" s="3" t="s">
        <v>33</v>
      </c>
      <c r="P167" s="3" t="s">
        <v>34</v>
      </c>
      <c r="Q167" s="3">
        <v>98</v>
      </c>
      <c r="R167" s="3" t="s">
        <v>35</v>
      </c>
      <c r="S167" s="3">
        <v>3.24</v>
      </c>
      <c r="T167" s="3">
        <v>3.08</v>
      </c>
      <c r="U167" s="3">
        <v>9.4</v>
      </c>
      <c r="V167" s="3">
        <v>112</v>
      </c>
      <c r="W167" s="3">
        <v>6600</v>
      </c>
      <c r="X167" s="3">
        <v>26</v>
      </c>
      <c r="Y167" s="3">
        <v>29</v>
      </c>
      <c r="Z167" s="3">
        <v>9298</v>
      </c>
      <c r="AA167">
        <f t="shared" si="2"/>
        <v>8368.2000000000007</v>
      </c>
    </row>
    <row r="168" spans="1:27" x14ac:dyDescent="0.35">
      <c r="A168" s="3">
        <v>167</v>
      </c>
      <c r="B168" s="3">
        <v>1</v>
      </c>
      <c r="C168" s="3" t="s">
        <v>184</v>
      </c>
      <c r="D168" s="3" t="s">
        <v>27</v>
      </c>
      <c r="E168" s="3" t="s">
        <v>28</v>
      </c>
      <c r="F168" s="3" t="s">
        <v>29</v>
      </c>
      <c r="G168" s="3" t="s">
        <v>38</v>
      </c>
      <c r="H168" s="3" t="s">
        <v>31</v>
      </c>
      <c r="I168" s="3" t="s">
        <v>32</v>
      </c>
      <c r="J168" s="3">
        <v>94.5</v>
      </c>
      <c r="K168" s="3">
        <v>168.7</v>
      </c>
      <c r="L168" s="3">
        <v>64</v>
      </c>
      <c r="M168" s="3">
        <v>52.6</v>
      </c>
      <c r="N168" s="3">
        <v>2300</v>
      </c>
      <c r="O168" s="3" t="s">
        <v>33</v>
      </c>
      <c r="P168" s="3" t="s">
        <v>34</v>
      </c>
      <c r="Q168" s="3">
        <v>98</v>
      </c>
      <c r="R168" s="3" t="s">
        <v>35</v>
      </c>
      <c r="S168" s="3">
        <v>3.24</v>
      </c>
      <c r="T168" s="3">
        <v>3.08</v>
      </c>
      <c r="U168" s="3">
        <v>9.4</v>
      </c>
      <c r="V168" s="3">
        <v>112</v>
      </c>
      <c r="W168" s="3">
        <v>6600</v>
      </c>
      <c r="X168" s="3">
        <v>26</v>
      </c>
      <c r="Y168" s="3">
        <v>29</v>
      </c>
      <c r="Z168" s="3">
        <v>9538</v>
      </c>
      <c r="AA168">
        <f t="shared" si="2"/>
        <v>8584.2000000000007</v>
      </c>
    </row>
    <row r="169" spans="1:27" x14ac:dyDescent="0.35">
      <c r="A169" s="3">
        <v>168</v>
      </c>
      <c r="B169" s="3">
        <v>2</v>
      </c>
      <c r="C169" s="3" t="s">
        <v>185</v>
      </c>
      <c r="D169" s="3" t="s">
        <v>27</v>
      </c>
      <c r="E169" s="3" t="s">
        <v>28</v>
      </c>
      <c r="F169" s="3" t="s">
        <v>29</v>
      </c>
      <c r="G169" s="3" t="s">
        <v>112</v>
      </c>
      <c r="H169" s="3" t="s">
        <v>31</v>
      </c>
      <c r="I169" s="3" t="s">
        <v>32</v>
      </c>
      <c r="J169" s="3">
        <v>98.4</v>
      </c>
      <c r="K169" s="3">
        <v>176.2</v>
      </c>
      <c r="L169" s="3">
        <v>65.599999999999994</v>
      </c>
      <c r="M169" s="3">
        <v>52</v>
      </c>
      <c r="N169" s="3">
        <v>2540</v>
      </c>
      <c r="O169" s="3" t="s">
        <v>44</v>
      </c>
      <c r="P169" s="3" t="s">
        <v>34</v>
      </c>
      <c r="Q169" s="3">
        <v>146</v>
      </c>
      <c r="R169" s="3" t="s">
        <v>35</v>
      </c>
      <c r="S169" s="3">
        <v>3.62</v>
      </c>
      <c r="T169" s="3">
        <v>3.5</v>
      </c>
      <c r="U169" s="3">
        <v>9.3000000000000007</v>
      </c>
      <c r="V169" s="3">
        <v>116</v>
      </c>
      <c r="W169" s="3">
        <v>4800</v>
      </c>
      <c r="X169" s="3">
        <v>24</v>
      </c>
      <c r="Y169" s="3">
        <v>30</v>
      </c>
      <c r="Z169" s="3">
        <v>8449</v>
      </c>
      <c r="AA169">
        <f t="shared" si="2"/>
        <v>7604.1</v>
      </c>
    </row>
    <row r="170" spans="1:27" x14ac:dyDescent="0.35">
      <c r="A170" s="3">
        <v>169</v>
      </c>
      <c r="B170" s="3">
        <v>2</v>
      </c>
      <c r="C170" s="3" t="s">
        <v>181</v>
      </c>
      <c r="D170" s="3" t="s">
        <v>27</v>
      </c>
      <c r="E170" s="3" t="s">
        <v>28</v>
      </c>
      <c r="F170" s="3" t="s">
        <v>29</v>
      </c>
      <c r="G170" s="3" t="s">
        <v>112</v>
      </c>
      <c r="H170" s="3" t="s">
        <v>31</v>
      </c>
      <c r="I170" s="3" t="s">
        <v>32</v>
      </c>
      <c r="J170" s="3">
        <v>98.4</v>
      </c>
      <c r="K170" s="3">
        <v>176.2</v>
      </c>
      <c r="L170" s="3">
        <v>65.599999999999994</v>
      </c>
      <c r="M170" s="3">
        <v>52</v>
      </c>
      <c r="N170" s="3">
        <v>2536</v>
      </c>
      <c r="O170" s="3" t="s">
        <v>44</v>
      </c>
      <c r="P170" s="3" t="s">
        <v>34</v>
      </c>
      <c r="Q170" s="3">
        <v>146</v>
      </c>
      <c r="R170" s="3" t="s">
        <v>35</v>
      </c>
      <c r="S170" s="3">
        <v>3.62</v>
      </c>
      <c r="T170" s="3">
        <v>3.5</v>
      </c>
      <c r="U170" s="3">
        <v>9.3000000000000007</v>
      </c>
      <c r="V170" s="3">
        <v>116</v>
      </c>
      <c r="W170" s="3">
        <v>4800</v>
      </c>
      <c r="X170" s="3">
        <v>24</v>
      </c>
      <c r="Y170" s="3">
        <v>30</v>
      </c>
      <c r="Z170" s="3">
        <v>9639</v>
      </c>
      <c r="AA170">
        <f t="shared" si="2"/>
        <v>8675.1</v>
      </c>
    </row>
    <row r="171" spans="1:27" x14ac:dyDescent="0.35">
      <c r="A171" s="3">
        <v>170</v>
      </c>
      <c r="B171" s="3">
        <v>2</v>
      </c>
      <c r="C171" s="3" t="s">
        <v>186</v>
      </c>
      <c r="D171" s="3" t="s">
        <v>27</v>
      </c>
      <c r="E171" s="3" t="s">
        <v>28</v>
      </c>
      <c r="F171" s="3" t="s">
        <v>29</v>
      </c>
      <c r="G171" s="3" t="s">
        <v>38</v>
      </c>
      <c r="H171" s="3" t="s">
        <v>31</v>
      </c>
      <c r="I171" s="3" t="s">
        <v>32</v>
      </c>
      <c r="J171" s="3">
        <v>98.4</v>
      </c>
      <c r="K171" s="3">
        <v>176.2</v>
      </c>
      <c r="L171" s="3">
        <v>65.599999999999994</v>
      </c>
      <c r="M171" s="3">
        <v>52</v>
      </c>
      <c r="N171" s="3">
        <v>2551</v>
      </c>
      <c r="O171" s="3" t="s">
        <v>44</v>
      </c>
      <c r="P171" s="3" t="s">
        <v>34</v>
      </c>
      <c r="Q171" s="3">
        <v>146</v>
      </c>
      <c r="R171" s="3" t="s">
        <v>35</v>
      </c>
      <c r="S171" s="3">
        <v>3.62</v>
      </c>
      <c r="T171" s="3">
        <v>3.5</v>
      </c>
      <c r="U171" s="3">
        <v>9.3000000000000007</v>
      </c>
      <c r="V171" s="3">
        <v>116</v>
      </c>
      <c r="W171" s="3">
        <v>4800</v>
      </c>
      <c r="X171" s="3">
        <v>24</v>
      </c>
      <c r="Y171" s="3">
        <v>30</v>
      </c>
      <c r="Z171" s="3">
        <v>9989</v>
      </c>
      <c r="AA171">
        <f t="shared" si="2"/>
        <v>8990.1</v>
      </c>
    </row>
    <row r="172" spans="1:27" x14ac:dyDescent="0.35">
      <c r="A172" s="3">
        <v>171</v>
      </c>
      <c r="B172" s="3">
        <v>2</v>
      </c>
      <c r="C172" s="3" t="s">
        <v>187</v>
      </c>
      <c r="D172" s="3" t="s">
        <v>27</v>
      </c>
      <c r="E172" s="3" t="s">
        <v>28</v>
      </c>
      <c r="F172" s="3" t="s">
        <v>29</v>
      </c>
      <c r="G172" s="3" t="s">
        <v>112</v>
      </c>
      <c r="H172" s="3" t="s">
        <v>31</v>
      </c>
      <c r="I172" s="3" t="s">
        <v>32</v>
      </c>
      <c r="J172" s="3">
        <v>98.4</v>
      </c>
      <c r="K172" s="3">
        <v>176.2</v>
      </c>
      <c r="L172" s="3">
        <v>65.599999999999994</v>
      </c>
      <c r="M172" s="3">
        <v>52</v>
      </c>
      <c r="N172" s="3">
        <v>2679</v>
      </c>
      <c r="O172" s="3" t="s">
        <v>44</v>
      </c>
      <c r="P172" s="3" t="s">
        <v>34</v>
      </c>
      <c r="Q172" s="3">
        <v>146</v>
      </c>
      <c r="R172" s="3" t="s">
        <v>35</v>
      </c>
      <c r="S172" s="3">
        <v>3.62</v>
      </c>
      <c r="T172" s="3">
        <v>3.5</v>
      </c>
      <c r="U172" s="3">
        <v>9.3000000000000007</v>
      </c>
      <c r="V172" s="3">
        <v>116</v>
      </c>
      <c r="W172" s="3">
        <v>4800</v>
      </c>
      <c r="X172" s="3">
        <v>24</v>
      </c>
      <c r="Y172" s="3">
        <v>30</v>
      </c>
      <c r="Z172" s="3">
        <v>11199</v>
      </c>
      <c r="AA172">
        <f t="shared" si="2"/>
        <v>10079.1</v>
      </c>
    </row>
    <row r="173" spans="1:27" x14ac:dyDescent="0.35">
      <c r="A173" s="3">
        <v>172</v>
      </c>
      <c r="B173" s="3">
        <v>2</v>
      </c>
      <c r="C173" s="3" t="s">
        <v>181</v>
      </c>
      <c r="D173" s="3" t="s">
        <v>27</v>
      </c>
      <c r="E173" s="3" t="s">
        <v>28</v>
      </c>
      <c r="F173" s="3" t="s">
        <v>29</v>
      </c>
      <c r="G173" s="3" t="s">
        <v>38</v>
      </c>
      <c r="H173" s="3" t="s">
        <v>31</v>
      </c>
      <c r="I173" s="3" t="s">
        <v>32</v>
      </c>
      <c r="J173" s="3">
        <v>98.4</v>
      </c>
      <c r="K173" s="3">
        <v>176.2</v>
      </c>
      <c r="L173" s="3">
        <v>65.599999999999994</v>
      </c>
      <c r="M173" s="3">
        <v>52</v>
      </c>
      <c r="N173" s="3">
        <v>2714</v>
      </c>
      <c r="O173" s="3" t="s">
        <v>44</v>
      </c>
      <c r="P173" s="3" t="s">
        <v>34</v>
      </c>
      <c r="Q173" s="3">
        <v>146</v>
      </c>
      <c r="R173" s="3" t="s">
        <v>35</v>
      </c>
      <c r="S173" s="3">
        <v>3.62</v>
      </c>
      <c r="T173" s="3">
        <v>3.5</v>
      </c>
      <c r="U173" s="3">
        <v>9.3000000000000007</v>
      </c>
      <c r="V173" s="3">
        <v>116</v>
      </c>
      <c r="W173" s="3">
        <v>4800</v>
      </c>
      <c r="X173" s="3">
        <v>24</v>
      </c>
      <c r="Y173" s="3">
        <v>30</v>
      </c>
      <c r="Z173" s="3">
        <v>11549</v>
      </c>
      <c r="AA173">
        <f t="shared" si="2"/>
        <v>10394.1</v>
      </c>
    </row>
    <row r="174" spans="1:27" x14ac:dyDescent="0.35">
      <c r="A174" s="3">
        <v>173</v>
      </c>
      <c r="B174" s="3">
        <v>2</v>
      </c>
      <c r="C174" s="3" t="s">
        <v>188</v>
      </c>
      <c r="D174" s="3" t="s">
        <v>27</v>
      </c>
      <c r="E174" s="3" t="s">
        <v>28</v>
      </c>
      <c r="F174" s="3" t="s">
        <v>29</v>
      </c>
      <c r="G174" s="3" t="s">
        <v>30</v>
      </c>
      <c r="H174" s="3" t="s">
        <v>31</v>
      </c>
      <c r="I174" s="3" t="s">
        <v>32</v>
      </c>
      <c r="J174" s="3">
        <v>98.4</v>
      </c>
      <c r="K174" s="3">
        <v>176.2</v>
      </c>
      <c r="L174" s="3">
        <v>65.599999999999994</v>
      </c>
      <c r="M174" s="3">
        <v>53</v>
      </c>
      <c r="N174" s="3">
        <v>2975</v>
      </c>
      <c r="O174" s="3" t="s">
        <v>44</v>
      </c>
      <c r="P174" s="3" t="s">
        <v>34</v>
      </c>
      <c r="Q174" s="3">
        <v>146</v>
      </c>
      <c r="R174" s="3" t="s">
        <v>35</v>
      </c>
      <c r="S174" s="3">
        <v>3.62</v>
      </c>
      <c r="T174" s="3">
        <v>3.5</v>
      </c>
      <c r="U174" s="3">
        <v>9.3000000000000007</v>
      </c>
      <c r="V174" s="3">
        <v>116</v>
      </c>
      <c r="W174" s="3">
        <v>4800</v>
      </c>
      <c r="X174" s="3">
        <v>24</v>
      </c>
      <c r="Y174" s="3">
        <v>30</v>
      </c>
      <c r="Z174" s="3">
        <v>17669</v>
      </c>
      <c r="AA174">
        <f t="shared" si="2"/>
        <v>15902.1</v>
      </c>
    </row>
    <row r="175" spans="1:27" x14ac:dyDescent="0.35">
      <c r="A175" s="3">
        <v>174</v>
      </c>
      <c r="B175" s="3">
        <v>-1</v>
      </c>
      <c r="C175" s="3" t="s">
        <v>181</v>
      </c>
      <c r="D175" s="3" t="s">
        <v>27</v>
      </c>
      <c r="E175" s="3" t="s">
        <v>28</v>
      </c>
      <c r="F175" s="3" t="s">
        <v>34</v>
      </c>
      <c r="G175" s="3" t="s">
        <v>42</v>
      </c>
      <c r="H175" s="3" t="s">
        <v>43</v>
      </c>
      <c r="I175" s="3" t="s">
        <v>32</v>
      </c>
      <c r="J175" s="3">
        <v>102.4</v>
      </c>
      <c r="K175" s="3">
        <v>175.6</v>
      </c>
      <c r="L175" s="3">
        <v>66.5</v>
      </c>
      <c r="M175" s="3">
        <v>54.9</v>
      </c>
      <c r="N175" s="3">
        <v>2326</v>
      </c>
      <c r="O175" s="3" t="s">
        <v>44</v>
      </c>
      <c r="P175" s="3" t="s">
        <v>34</v>
      </c>
      <c r="Q175" s="3">
        <v>122</v>
      </c>
      <c r="R175" s="3" t="s">
        <v>35</v>
      </c>
      <c r="S175" s="3">
        <v>3.31</v>
      </c>
      <c r="T175" s="3">
        <v>3.54</v>
      </c>
      <c r="U175" s="3">
        <v>8.6999999999999993</v>
      </c>
      <c r="V175" s="3">
        <v>92</v>
      </c>
      <c r="W175" s="3">
        <v>4200</v>
      </c>
      <c r="X175" s="3">
        <v>29</v>
      </c>
      <c r="Y175" s="3">
        <v>34</v>
      </c>
      <c r="Z175" s="3">
        <v>8948</v>
      </c>
      <c r="AA175">
        <f t="shared" si="2"/>
        <v>8053.2</v>
      </c>
    </row>
    <row r="176" spans="1:27" x14ac:dyDescent="0.35">
      <c r="A176" s="3">
        <v>175</v>
      </c>
      <c r="B176" s="3">
        <v>-1</v>
      </c>
      <c r="C176" s="3" t="s">
        <v>189</v>
      </c>
      <c r="D176" s="3" t="s">
        <v>107</v>
      </c>
      <c r="E176" s="3" t="s">
        <v>52</v>
      </c>
      <c r="F176" s="3" t="s">
        <v>34</v>
      </c>
      <c r="G176" s="3" t="s">
        <v>42</v>
      </c>
      <c r="H176" s="3" t="s">
        <v>43</v>
      </c>
      <c r="I176" s="3" t="s">
        <v>32</v>
      </c>
      <c r="J176" s="3">
        <v>102.4</v>
      </c>
      <c r="K176" s="3">
        <v>175.6</v>
      </c>
      <c r="L176" s="3">
        <v>66.5</v>
      </c>
      <c r="M176" s="3">
        <v>54.9</v>
      </c>
      <c r="N176" s="3">
        <v>2480</v>
      </c>
      <c r="O176" s="3" t="s">
        <v>44</v>
      </c>
      <c r="P176" s="3" t="s">
        <v>34</v>
      </c>
      <c r="Q176" s="3">
        <v>110</v>
      </c>
      <c r="R176" s="3" t="s">
        <v>108</v>
      </c>
      <c r="S176" s="3">
        <v>3.27</v>
      </c>
      <c r="T176" s="3">
        <v>3.35</v>
      </c>
      <c r="U176" s="3">
        <v>22.5</v>
      </c>
      <c r="V176" s="3">
        <v>73</v>
      </c>
      <c r="W176" s="3">
        <v>4500</v>
      </c>
      <c r="X176" s="3">
        <v>30</v>
      </c>
      <c r="Y176" s="3">
        <v>33</v>
      </c>
      <c r="Z176" s="3">
        <v>10698</v>
      </c>
      <c r="AA176">
        <f t="shared" si="2"/>
        <v>9628.2000000000007</v>
      </c>
    </row>
    <row r="177" spans="1:27" x14ac:dyDescent="0.35">
      <c r="A177" s="3">
        <v>176</v>
      </c>
      <c r="B177" s="3">
        <v>-1</v>
      </c>
      <c r="C177" s="3" t="s">
        <v>175</v>
      </c>
      <c r="D177" s="3" t="s">
        <v>27</v>
      </c>
      <c r="E177" s="3" t="s">
        <v>28</v>
      </c>
      <c r="F177" s="3" t="s">
        <v>34</v>
      </c>
      <c r="G177" s="3" t="s">
        <v>38</v>
      </c>
      <c r="H177" s="3" t="s">
        <v>43</v>
      </c>
      <c r="I177" s="3" t="s">
        <v>32</v>
      </c>
      <c r="J177" s="3">
        <v>102.4</v>
      </c>
      <c r="K177" s="3">
        <v>175.6</v>
      </c>
      <c r="L177" s="3">
        <v>66.5</v>
      </c>
      <c r="M177" s="3">
        <v>53.9</v>
      </c>
      <c r="N177" s="3">
        <v>2414</v>
      </c>
      <c r="O177" s="3" t="s">
        <v>44</v>
      </c>
      <c r="P177" s="3" t="s">
        <v>34</v>
      </c>
      <c r="Q177" s="3">
        <v>122</v>
      </c>
      <c r="R177" s="3" t="s">
        <v>35</v>
      </c>
      <c r="S177" s="3">
        <v>3.31</v>
      </c>
      <c r="T177" s="3">
        <v>3.54</v>
      </c>
      <c r="U177" s="3">
        <v>8.6999999999999993</v>
      </c>
      <c r="V177" s="3">
        <v>92</v>
      </c>
      <c r="W177" s="3">
        <v>4200</v>
      </c>
      <c r="X177" s="3">
        <v>27</v>
      </c>
      <c r="Y177" s="3">
        <v>32</v>
      </c>
      <c r="Z177" s="3">
        <v>9988</v>
      </c>
      <c r="AA177">
        <f t="shared" si="2"/>
        <v>8989.2000000000007</v>
      </c>
    </row>
    <row r="178" spans="1:27" x14ac:dyDescent="0.35">
      <c r="A178" s="3">
        <v>177</v>
      </c>
      <c r="B178" s="3">
        <v>-1</v>
      </c>
      <c r="C178" s="3" t="s">
        <v>181</v>
      </c>
      <c r="D178" s="3" t="s">
        <v>27</v>
      </c>
      <c r="E178" s="3" t="s">
        <v>28</v>
      </c>
      <c r="F178" s="3" t="s">
        <v>34</v>
      </c>
      <c r="G178" s="3" t="s">
        <v>42</v>
      </c>
      <c r="H178" s="3" t="s">
        <v>43</v>
      </c>
      <c r="I178" s="3" t="s">
        <v>32</v>
      </c>
      <c r="J178" s="3">
        <v>102.4</v>
      </c>
      <c r="K178" s="3">
        <v>175.6</v>
      </c>
      <c r="L178" s="3">
        <v>66.5</v>
      </c>
      <c r="M178" s="3">
        <v>54.9</v>
      </c>
      <c r="N178" s="3">
        <v>2414</v>
      </c>
      <c r="O178" s="3" t="s">
        <v>44</v>
      </c>
      <c r="P178" s="3" t="s">
        <v>34</v>
      </c>
      <c r="Q178" s="3">
        <v>122</v>
      </c>
      <c r="R178" s="3" t="s">
        <v>35</v>
      </c>
      <c r="S178" s="3">
        <v>3.31</v>
      </c>
      <c r="T178" s="3">
        <v>3.54</v>
      </c>
      <c r="U178" s="3">
        <v>8.6999999999999993</v>
      </c>
      <c r="V178" s="3">
        <v>92</v>
      </c>
      <c r="W178" s="3">
        <v>4200</v>
      </c>
      <c r="X178" s="3">
        <v>27</v>
      </c>
      <c r="Y178" s="3">
        <v>32</v>
      </c>
      <c r="Z178" s="3">
        <v>10898</v>
      </c>
      <c r="AA178">
        <f t="shared" si="2"/>
        <v>9808.2000000000007</v>
      </c>
    </row>
    <row r="179" spans="1:27" x14ac:dyDescent="0.35">
      <c r="A179" s="3">
        <v>178</v>
      </c>
      <c r="B179" s="3">
        <v>-1</v>
      </c>
      <c r="C179" s="3" t="s">
        <v>180</v>
      </c>
      <c r="D179" s="3" t="s">
        <v>27</v>
      </c>
      <c r="E179" s="3" t="s">
        <v>28</v>
      </c>
      <c r="F179" s="3" t="s">
        <v>34</v>
      </c>
      <c r="G179" s="3" t="s">
        <v>38</v>
      </c>
      <c r="H179" s="3" t="s">
        <v>43</v>
      </c>
      <c r="I179" s="3" t="s">
        <v>32</v>
      </c>
      <c r="J179" s="3">
        <v>102.4</v>
      </c>
      <c r="K179" s="3">
        <v>175.6</v>
      </c>
      <c r="L179" s="3">
        <v>66.5</v>
      </c>
      <c r="M179" s="3">
        <v>53.9</v>
      </c>
      <c r="N179" s="3">
        <v>2458</v>
      </c>
      <c r="O179" s="3" t="s">
        <v>44</v>
      </c>
      <c r="P179" s="3" t="s">
        <v>34</v>
      </c>
      <c r="Q179" s="3">
        <v>122</v>
      </c>
      <c r="R179" s="3" t="s">
        <v>35</v>
      </c>
      <c r="S179" s="3">
        <v>3.31</v>
      </c>
      <c r="T179" s="3">
        <v>3.54</v>
      </c>
      <c r="U179" s="3">
        <v>8.6999999999999993</v>
      </c>
      <c r="V179" s="3">
        <v>92</v>
      </c>
      <c r="W179" s="3">
        <v>4200</v>
      </c>
      <c r="X179" s="3">
        <v>27</v>
      </c>
      <c r="Y179" s="3">
        <v>32</v>
      </c>
      <c r="Z179" s="3">
        <v>11248</v>
      </c>
      <c r="AA179">
        <f t="shared" si="2"/>
        <v>10123.200000000001</v>
      </c>
    </row>
    <row r="180" spans="1:27" x14ac:dyDescent="0.35">
      <c r="A180" s="3">
        <v>179</v>
      </c>
      <c r="B180" s="3">
        <v>3</v>
      </c>
      <c r="C180" s="3" t="s">
        <v>182</v>
      </c>
      <c r="D180" s="3" t="s">
        <v>27</v>
      </c>
      <c r="E180" s="3" t="s">
        <v>28</v>
      </c>
      <c r="F180" s="3" t="s">
        <v>29</v>
      </c>
      <c r="G180" s="3" t="s">
        <v>38</v>
      </c>
      <c r="H180" s="3" t="s">
        <v>31</v>
      </c>
      <c r="I180" s="3" t="s">
        <v>32</v>
      </c>
      <c r="J180" s="3">
        <v>102.9</v>
      </c>
      <c r="K180" s="3">
        <v>183.5</v>
      </c>
      <c r="L180" s="3">
        <v>67.7</v>
      </c>
      <c r="M180" s="3">
        <v>52</v>
      </c>
      <c r="N180" s="3">
        <v>2976</v>
      </c>
      <c r="O180" s="3" t="s">
        <v>33</v>
      </c>
      <c r="P180" s="3" t="s">
        <v>40</v>
      </c>
      <c r="Q180" s="3">
        <v>171</v>
      </c>
      <c r="R180" s="3" t="s">
        <v>35</v>
      </c>
      <c r="S180" s="3">
        <v>3.27</v>
      </c>
      <c r="T180" s="3">
        <v>3.35</v>
      </c>
      <c r="U180" s="3">
        <v>9.3000000000000007</v>
      </c>
      <c r="V180" s="3">
        <v>161</v>
      </c>
      <c r="W180" s="3">
        <v>5200</v>
      </c>
      <c r="X180" s="3">
        <v>20</v>
      </c>
      <c r="Y180" s="3">
        <v>24</v>
      </c>
      <c r="Z180" s="3">
        <v>16558</v>
      </c>
      <c r="AA180">
        <f t="shared" si="2"/>
        <v>14902.2</v>
      </c>
    </row>
    <row r="181" spans="1:27" x14ac:dyDescent="0.35">
      <c r="A181" s="3">
        <v>180</v>
      </c>
      <c r="B181" s="3">
        <v>3</v>
      </c>
      <c r="C181" s="3" t="s">
        <v>175</v>
      </c>
      <c r="D181" s="3" t="s">
        <v>27</v>
      </c>
      <c r="E181" s="3" t="s">
        <v>28</v>
      </c>
      <c r="F181" s="3" t="s">
        <v>29</v>
      </c>
      <c r="G181" s="3" t="s">
        <v>38</v>
      </c>
      <c r="H181" s="3" t="s">
        <v>31</v>
      </c>
      <c r="I181" s="3" t="s">
        <v>32</v>
      </c>
      <c r="J181" s="3">
        <v>102.9</v>
      </c>
      <c r="K181" s="3">
        <v>183.5</v>
      </c>
      <c r="L181" s="3">
        <v>67.7</v>
      </c>
      <c r="M181" s="3">
        <v>52</v>
      </c>
      <c r="N181" s="3">
        <v>3016</v>
      </c>
      <c r="O181" s="3" t="s">
        <v>33</v>
      </c>
      <c r="P181" s="3" t="s">
        <v>40</v>
      </c>
      <c r="Q181" s="3">
        <v>171</v>
      </c>
      <c r="R181" s="3" t="s">
        <v>35</v>
      </c>
      <c r="S181" s="3">
        <v>3.27</v>
      </c>
      <c r="T181" s="3">
        <v>3.35</v>
      </c>
      <c r="U181" s="3">
        <v>9.3000000000000007</v>
      </c>
      <c r="V181" s="3">
        <v>161</v>
      </c>
      <c r="W181" s="3">
        <v>5200</v>
      </c>
      <c r="X181" s="3">
        <v>19</v>
      </c>
      <c r="Y181" s="3">
        <v>24</v>
      </c>
      <c r="Z181" s="3">
        <v>15998</v>
      </c>
      <c r="AA181">
        <f t="shared" si="2"/>
        <v>14398.2</v>
      </c>
    </row>
    <row r="182" spans="1:27" x14ac:dyDescent="0.35">
      <c r="A182" s="3">
        <v>181</v>
      </c>
      <c r="B182" s="3">
        <v>-1</v>
      </c>
      <c r="C182" s="3" t="s">
        <v>186</v>
      </c>
      <c r="D182" s="3" t="s">
        <v>27</v>
      </c>
      <c r="E182" s="3" t="s">
        <v>28</v>
      </c>
      <c r="F182" s="3" t="s">
        <v>34</v>
      </c>
      <c r="G182" s="3" t="s">
        <v>42</v>
      </c>
      <c r="H182" s="3" t="s">
        <v>31</v>
      </c>
      <c r="I182" s="3" t="s">
        <v>32</v>
      </c>
      <c r="J182" s="3">
        <v>104.5</v>
      </c>
      <c r="K182" s="3">
        <v>187.8</v>
      </c>
      <c r="L182" s="3">
        <v>66.5</v>
      </c>
      <c r="M182" s="3">
        <v>54.1</v>
      </c>
      <c r="N182" s="3">
        <v>3131</v>
      </c>
      <c r="O182" s="3" t="s">
        <v>33</v>
      </c>
      <c r="P182" s="3" t="s">
        <v>40</v>
      </c>
      <c r="Q182" s="3">
        <v>171</v>
      </c>
      <c r="R182" s="3" t="s">
        <v>35</v>
      </c>
      <c r="S182" s="3">
        <v>3.27</v>
      </c>
      <c r="T182" s="3">
        <v>3.35</v>
      </c>
      <c r="U182" s="3">
        <v>9.1999999999999993</v>
      </c>
      <c r="V182" s="3">
        <v>156</v>
      </c>
      <c r="W182" s="3">
        <v>5200</v>
      </c>
      <c r="X182" s="3">
        <v>20</v>
      </c>
      <c r="Y182" s="3">
        <v>24</v>
      </c>
      <c r="Z182" s="3">
        <v>15690</v>
      </c>
      <c r="AA182">
        <f t="shared" si="2"/>
        <v>14121</v>
      </c>
    </row>
    <row r="183" spans="1:27" x14ac:dyDescent="0.35">
      <c r="A183" s="3">
        <v>182</v>
      </c>
      <c r="B183" s="3">
        <v>-1</v>
      </c>
      <c r="C183" s="3" t="s">
        <v>190</v>
      </c>
      <c r="D183" s="3" t="s">
        <v>27</v>
      </c>
      <c r="E183" s="3" t="s">
        <v>28</v>
      </c>
      <c r="F183" s="3" t="s">
        <v>34</v>
      </c>
      <c r="G183" s="3" t="s">
        <v>50</v>
      </c>
      <c r="H183" s="3" t="s">
        <v>31</v>
      </c>
      <c r="I183" s="3" t="s">
        <v>32</v>
      </c>
      <c r="J183" s="3">
        <v>104.5</v>
      </c>
      <c r="K183" s="3">
        <v>187.8</v>
      </c>
      <c r="L183" s="3">
        <v>66.5</v>
      </c>
      <c r="M183" s="3">
        <v>54.1</v>
      </c>
      <c r="N183" s="3">
        <v>3151</v>
      </c>
      <c r="O183" s="3" t="s">
        <v>33</v>
      </c>
      <c r="P183" s="3" t="s">
        <v>40</v>
      </c>
      <c r="Q183" s="3">
        <v>161</v>
      </c>
      <c r="R183" s="3" t="s">
        <v>35</v>
      </c>
      <c r="S183" s="3">
        <v>3.27</v>
      </c>
      <c r="T183" s="3">
        <v>3.35</v>
      </c>
      <c r="U183" s="3">
        <v>9.1999999999999993</v>
      </c>
      <c r="V183" s="3">
        <v>156</v>
      </c>
      <c r="W183" s="3">
        <v>5200</v>
      </c>
      <c r="X183" s="3">
        <v>19</v>
      </c>
      <c r="Y183" s="3">
        <v>24</v>
      </c>
      <c r="Z183" s="3">
        <v>15750</v>
      </c>
      <c r="AA183">
        <f t="shared" si="2"/>
        <v>14175</v>
      </c>
    </row>
    <row r="184" spans="1:27" x14ac:dyDescent="0.35">
      <c r="A184" s="3">
        <v>183</v>
      </c>
      <c r="B184" s="3">
        <v>2</v>
      </c>
      <c r="C184" s="3" t="s">
        <v>191</v>
      </c>
      <c r="D184" s="3" t="s">
        <v>107</v>
      </c>
      <c r="E184" s="3" t="s">
        <v>28</v>
      </c>
      <c r="F184" s="3" t="s">
        <v>29</v>
      </c>
      <c r="G184" s="3" t="s">
        <v>42</v>
      </c>
      <c r="H184" s="3" t="s">
        <v>43</v>
      </c>
      <c r="I184" s="3" t="s">
        <v>32</v>
      </c>
      <c r="J184" s="3">
        <v>97.3</v>
      </c>
      <c r="K184" s="3">
        <v>171.7</v>
      </c>
      <c r="L184" s="3">
        <v>65.5</v>
      </c>
      <c r="M184" s="3">
        <v>55.7</v>
      </c>
      <c r="N184" s="3">
        <v>2261</v>
      </c>
      <c r="O184" s="3" t="s">
        <v>44</v>
      </c>
      <c r="P184" s="3" t="s">
        <v>34</v>
      </c>
      <c r="Q184" s="3">
        <v>97</v>
      </c>
      <c r="R184" s="3" t="s">
        <v>108</v>
      </c>
      <c r="S184" s="3">
        <v>3.01</v>
      </c>
      <c r="T184" s="3">
        <v>3.4</v>
      </c>
      <c r="U184" s="3">
        <v>23</v>
      </c>
      <c r="V184" s="3">
        <v>52</v>
      </c>
      <c r="W184" s="3">
        <v>4800</v>
      </c>
      <c r="X184" s="3">
        <v>37</v>
      </c>
      <c r="Y184" s="3">
        <v>46</v>
      </c>
      <c r="Z184" s="3">
        <v>7775</v>
      </c>
      <c r="AA184">
        <f t="shared" si="2"/>
        <v>6997.5</v>
      </c>
    </row>
    <row r="185" spans="1:27" x14ac:dyDescent="0.35">
      <c r="A185" s="3">
        <v>184</v>
      </c>
      <c r="B185" s="3">
        <v>2</v>
      </c>
      <c r="C185" s="3" t="s">
        <v>192</v>
      </c>
      <c r="D185" s="3" t="s">
        <v>27</v>
      </c>
      <c r="E185" s="3" t="s">
        <v>28</v>
      </c>
      <c r="F185" s="3" t="s">
        <v>29</v>
      </c>
      <c r="G185" s="3" t="s">
        <v>42</v>
      </c>
      <c r="H185" s="3" t="s">
        <v>43</v>
      </c>
      <c r="I185" s="3" t="s">
        <v>32</v>
      </c>
      <c r="J185" s="3">
        <v>97.3</v>
      </c>
      <c r="K185" s="3">
        <v>171.7</v>
      </c>
      <c r="L185" s="3">
        <v>65.5</v>
      </c>
      <c r="M185" s="3">
        <v>55.7</v>
      </c>
      <c r="N185" s="3">
        <v>2209</v>
      </c>
      <c r="O185" s="3" t="s">
        <v>44</v>
      </c>
      <c r="P185" s="3" t="s">
        <v>34</v>
      </c>
      <c r="Q185" s="3">
        <v>109</v>
      </c>
      <c r="R185" s="3" t="s">
        <v>35</v>
      </c>
      <c r="S185" s="3">
        <v>3.19</v>
      </c>
      <c r="T185" s="3">
        <v>3.4</v>
      </c>
      <c r="U185" s="3">
        <v>9</v>
      </c>
      <c r="V185" s="3">
        <v>85</v>
      </c>
      <c r="W185" s="3">
        <v>5250</v>
      </c>
      <c r="X185" s="3">
        <v>27</v>
      </c>
      <c r="Y185" s="3">
        <v>34</v>
      </c>
      <c r="Z185" s="3">
        <v>7975</v>
      </c>
      <c r="AA185">
        <f t="shared" si="2"/>
        <v>7177.5</v>
      </c>
    </row>
    <row r="186" spans="1:27" x14ac:dyDescent="0.35">
      <c r="A186" s="3">
        <v>185</v>
      </c>
      <c r="B186" s="3">
        <v>2</v>
      </c>
      <c r="C186" s="3" t="s">
        <v>193</v>
      </c>
      <c r="D186" s="3" t="s">
        <v>107</v>
      </c>
      <c r="E186" s="3" t="s">
        <v>28</v>
      </c>
      <c r="F186" s="3" t="s">
        <v>34</v>
      </c>
      <c r="G186" s="3" t="s">
        <v>42</v>
      </c>
      <c r="H186" s="3" t="s">
        <v>43</v>
      </c>
      <c r="I186" s="3" t="s">
        <v>32</v>
      </c>
      <c r="J186" s="3">
        <v>97.3</v>
      </c>
      <c r="K186" s="3">
        <v>171.7</v>
      </c>
      <c r="L186" s="3">
        <v>65.5</v>
      </c>
      <c r="M186" s="3">
        <v>55.7</v>
      </c>
      <c r="N186" s="3">
        <v>2264</v>
      </c>
      <c r="O186" s="3" t="s">
        <v>44</v>
      </c>
      <c r="P186" s="3" t="s">
        <v>34</v>
      </c>
      <c r="Q186" s="3">
        <v>97</v>
      </c>
      <c r="R186" s="3" t="s">
        <v>108</v>
      </c>
      <c r="S186" s="3">
        <v>3.01</v>
      </c>
      <c r="T186" s="3">
        <v>3.4</v>
      </c>
      <c r="U186" s="3">
        <v>23</v>
      </c>
      <c r="V186" s="3">
        <v>52</v>
      </c>
      <c r="W186" s="3">
        <v>4800</v>
      </c>
      <c r="X186" s="3">
        <v>37</v>
      </c>
      <c r="Y186" s="3">
        <v>46</v>
      </c>
      <c r="Z186" s="3">
        <v>7995</v>
      </c>
      <c r="AA186">
        <f t="shared" si="2"/>
        <v>7195.5</v>
      </c>
    </row>
    <row r="187" spans="1:27" x14ac:dyDescent="0.35">
      <c r="A187" s="3">
        <v>186</v>
      </c>
      <c r="B187" s="3">
        <v>2</v>
      </c>
      <c r="C187" s="3" t="s">
        <v>194</v>
      </c>
      <c r="D187" s="3" t="s">
        <v>27</v>
      </c>
      <c r="E187" s="3" t="s">
        <v>28</v>
      </c>
      <c r="F187" s="3" t="s">
        <v>34</v>
      </c>
      <c r="G187" s="3" t="s">
        <v>42</v>
      </c>
      <c r="H187" s="3" t="s">
        <v>43</v>
      </c>
      <c r="I187" s="3" t="s">
        <v>32</v>
      </c>
      <c r="J187" s="3">
        <v>97.3</v>
      </c>
      <c r="K187" s="3">
        <v>171.7</v>
      </c>
      <c r="L187" s="3">
        <v>65.5</v>
      </c>
      <c r="M187" s="3">
        <v>55.7</v>
      </c>
      <c r="N187" s="3">
        <v>2212</v>
      </c>
      <c r="O187" s="3" t="s">
        <v>44</v>
      </c>
      <c r="P187" s="3" t="s">
        <v>34</v>
      </c>
      <c r="Q187" s="3">
        <v>109</v>
      </c>
      <c r="R187" s="3" t="s">
        <v>35</v>
      </c>
      <c r="S187" s="3">
        <v>3.19</v>
      </c>
      <c r="T187" s="3">
        <v>3.4</v>
      </c>
      <c r="U187" s="3">
        <v>9</v>
      </c>
      <c r="V187" s="3">
        <v>85</v>
      </c>
      <c r="W187" s="3">
        <v>5250</v>
      </c>
      <c r="X187" s="3">
        <v>27</v>
      </c>
      <c r="Y187" s="3">
        <v>34</v>
      </c>
      <c r="Z187" s="3">
        <v>8195</v>
      </c>
      <c r="AA187">
        <f t="shared" si="2"/>
        <v>7375.5</v>
      </c>
    </row>
    <row r="188" spans="1:27" x14ac:dyDescent="0.35">
      <c r="A188" s="3">
        <v>187</v>
      </c>
      <c r="B188" s="3">
        <v>2</v>
      </c>
      <c r="C188" s="3" t="s">
        <v>195</v>
      </c>
      <c r="D188" s="3" t="s">
        <v>27</v>
      </c>
      <c r="E188" s="3" t="s">
        <v>28</v>
      </c>
      <c r="F188" s="3" t="s">
        <v>34</v>
      </c>
      <c r="G188" s="3" t="s">
        <v>42</v>
      </c>
      <c r="H188" s="3" t="s">
        <v>43</v>
      </c>
      <c r="I188" s="3" t="s">
        <v>32</v>
      </c>
      <c r="J188" s="3">
        <v>97.3</v>
      </c>
      <c r="K188" s="3">
        <v>171.7</v>
      </c>
      <c r="L188" s="3">
        <v>65.5</v>
      </c>
      <c r="M188" s="3">
        <v>55.7</v>
      </c>
      <c r="N188" s="3">
        <v>2275</v>
      </c>
      <c r="O188" s="3" t="s">
        <v>44</v>
      </c>
      <c r="P188" s="3" t="s">
        <v>34</v>
      </c>
      <c r="Q188" s="3">
        <v>109</v>
      </c>
      <c r="R188" s="3" t="s">
        <v>35</v>
      </c>
      <c r="S188" s="3">
        <v>3.19</v>
      </c>
      <c r="T188" s="3">
        <v>3.4</v>
      </c>
      <c r="U188" s="3">
        <v>9</v>
      </c>
      <c r="V188" s="3">
        <v>85</v>
      </c>
      <c r="W188" s="3">
        <v>5250</v>
      </c>
      <c r="X188" s="3">
        <v>27</v>
      </c>
      <c r="Y188" s="3">
        <v>34</v>
      </c>
      <c r="Z188" s="3">
        <v>8495</v>
      </c>
      <c r="AA188">
        <f t="shared" si="2"/>
        <v>7645.5</v>
      </c>
    </row>
    <row r="189" spans="1:27" x14ac:dyDescent="0.35">
      <c r="A189" s="3">
        <v>188</v>
      </c>
      <c r="B189" s="3">
        <v>2</v>
      </c>
      <c r="C189" s="3" t="s">
        <v>196</v>
      </c>
      <c r="D189" s="3" t="s">
        <v>107</v>
      </c>
      <c r="E189" s="3" t="s">
        <v>52</v>
      </c>
      <c r="F189" s="3" t="s">
        <v>34</v>
      </c>
      <c r="G189" s="3" t="s">
        <v>42</v>
      </c>
      <c r="H189" s="3" t="s">
        <v>43</v>
      </c>
      <c r="I189" s="3" t="s">
        <v>32</v>
      </c>
      <c r="J189" s="3">
        <v>97.3</v>
      </c>
      <c r="K189" s="3">
        <v>171.7</v>
      </c>
      <c r="L189" s="3">
        <v>65.5</v>
      </c>
      <c r="M189" s="3">
        <v>55.7</v>
      </c>
      <c r="N189" s="3">
        <v>2319</v>
      </c>
      <c r="O189" s="3" t="s">
        <v>44</v>
      </c>
      <c r="P189" s="3" t="s">
        <v>34</v>
      </c>
      <c r="Q189" s="3">
        <v>97</v>
      </c>
      <c r="R189" s="3" t="s">
        <v>108</v>
      </c>
      <c r="S189" s="3">
        <v>3.01</v>
      </c>
      <c r="T189" s="3">
        <v>3.4</v>
      </c>
      <c r="U189" s="3">
        <v>23</v>
      </c>
      <c r="V189" s="3">
        <v>68</v>
      </c>
      <c r="W189" s="3">
        <v>4500</v>
      </c>
      <c r="X189" s="3">
        <v>37</v>
      </c>
      <c r="Y189" s="3">
        <v>42</v>
      </c>
      <c r="Z189" s="3">
        <v>9495</v>
      </c>
      <c r="AA189">
        <f t="shared" si="2"/>
        <v>8545.5</v>
      </c>
    </row>
    <row r="190" spans="1:27" x14ac:dyDescent="0.35">
      <c r="A190" s="3">
        <v>189</v>
      </c>
      <c r="B190" s="3">
        <v>2</v>
      </c>
      <c r="C190" s="3" t="s">
        <v>197</v>
      </c>
      <c r="D190" s="3" t="s">
        <v>27</v>
      </c>
      <c r="E190" s="3" t="s">
        <v>28</v>
      </c>
      <c r="F190" s="3" t="s">
        <v>34</v>
      </c>
      <c r="G190" s="3" t="s">
        <v>42</v>
      </c>
      <c r="H190" s="3" t="s">
        <v>43</v>
      </c>
      <c r="I190" s="3" t="s">
        <v>32</v>
      </c>
      <c r="J190" s="3">
        <v>97.3</v>
      </c>
      <c r="K190" s="3">
        <v>171.7</v>
      </c>
      <c r="L190" s="3">
        <v>65.5</v>
      </c>
      <c r="M190" s="3">
        <v>55.7</v>
      </c>
      <c r="N190" s="3">
        <v>2300</v>
      </c>
      <c r="O190" s="3" t="s">
        <v>44</v>
      </c>
      <c r="P190" s="3" t="s">
        <v>34</v>
      </c>
      <c r="Q190" s="3">
        <v>109</v>
      </c>
      <c r="R190" s="3" t="s">
        <v>35</v>
      </c>
      <c r="S190" s="3">
        <v>3.19</v>
      </c>
      <c r="T190" s="3">
        <v>3.4</v>
      </c>
      <c r="U190" s="3">
        <v>10</v>
      </c>
      <c r="V190" s="3">
        <v>100</v>
      </c>
      <c r="W190" s="3">
        <v>5500</v>
      </c>
      <c r="X190" s="3">
        <v>26</v>
      </c>
      <c r="Y190" s="3">
        <v>32</v>
      </c>
      <c r="Z190" s="3">
        <v>9995</v>
      </c>
      <c r="AA190">
        <f t="shared" si="2"/>
        <v>8995.5</v>
      </c>
    </row>
    <row r="191" spans="1:27" x14ac:dyDescent="0.35">
      <c r="A191" s="3">
        <v>190</v>
      </c>
      <c r="B191" s="3">
        <v>3</v>
      </c>
      <c r="C191" s="3" t="s">
        <v>198</v>
      </c>
      <c r="D191" s="3" t="s">
        <v>27</v>
      </c>
      <c r="E191" s="3" t="s">
        <v>28</v>
      </c>
      <c r="F191" s="3" t="s">
        <v>29</v>
      </c>
      <c r="G191" s="3" t="s">
        <v>30</v>
      </c>
      <c r="H191" s="3" t="s">
        <v>43</v>
      </c>
      <c r="I191" s="3" t="s">
        <v>32</v>
      </c>
      <c r="J191" s="3">
        <v>94.5</v>
      </c>
      <c r="K191" s="3">
        <v>159.30000000000001</v>
      </c>
      <c r="L191" s="3">
        <v>64.2</v>
      </c>
      <c r="M191" s="3">
        <v>55.6</v>
      </c>
      <c r="N191" s="3">
        <v>2254</v>
      </c>
      <c r="O191" s="3" t="s">
        <v>44</v>
      </c>
      <c r="P191" s="3" t="s">
        <v>34</v>
      </c>
      <c r="Q191" s="3">
        <v>109</v>
      </c>
      <c r="R191" s="3" t="s">
        <v>35</v>
      </c>
      <c r="S191" s="3">
        <v>3.19</v>
      </c>
      <c r="T191" s="3">
        <v>3.4</v>
      </c>
      <c r="U191" s="3">
        <v>8.5</v>
      </c>
      <c r="V191" s="3">
        <v>90</v>
      </c>
      <c r="W191" s="3">
        <v>5500</v>
      </c>
      <c r="X191" s="3">
        <v>24</v>
      </c>
      <c r="Y191" s="3">
        <v>29</v>
      </c>
      <c r="Z191" s="3">
        <v>11595</v>
      </c>
      <c r="AA191">
        <f t="shared" si="2"/>
        <v>10435.5</v>
      </c>
    </row>
    <row r="192" spans="1:27" x14ac:dyDescent="0.35">
      <c r="A192" s="3">
        <v>191</v>
      </c>
      <c r="B192" s="3">
        <v>3</v>
      </c>
      <c r="C192" s="3" t="s">
        <v>199</v>
      </c>
      <c r="D192" s="3" t="s">
        <v>27</v>
      </c>
      <c r="E192" s="3" t="s">
        <v>28</v>
      </c>
      <c r="F192" s="3" t="s">
        <v>29</v>
      </c>
      <c r="G192" s="3" t="s">
        <v>38</v>
      </c>
      <c r="H192" s="3" t="s">
        <v>43</v>
      </c>
      <c r="I192" s="3" t="s">
        <v>32</v>
      </c>
      <c r="J192" s="3">
        <v>94.5</v>
      </c>
      <c r="K192" s="3">
        <v>165.7</v>
      </c>
      <c r="L192" s="3">
        <v>64</v>
      </c>
      <c r="M192" s="3">
        <v>51.4</v>
      </c>
      <c r="N192" s="3">
        <v>2221</v>
      </c>
      <c r="O192" s="3" t="s">
        <v>44</v>
      </c>
      <c r="P192" s="3" t="s">
        <v>34</v>
      </c>
      <c r="Q192" s="3">
        <v>109</v>
      </c>
      <c r="R192" s="3" t="s">
        <v>35</v>
      </c>
      <c r="S192" s="3">
        <v>3.19</v>
      </c>
      <c r="T192" s="3">
        <v>3.4</v>
      </c>
      <c r="U192" s="3">
        <v>8.5</v>
      </c>
      <c r="V192" s="3">
        <v>90</v>
      </c>
      <c r="W192" s="3">
        <v>5500</v>
      </c>
      <c r="X192" s="3">
        <v>24</v>
      </c>
      <c r="Y192" s="3">
        <v>29</v>
      </c>
      <c r="Z192" s="3">
        <v>9980</v>
      </c>
      <c r="AA192">
        <f t="shared" si="2"/>
        <v>8982</v>
      </c>
    </row>
    <row r="193" spans="1:27" x14ac:dyDescent="0.35">
      <c r="A193" s="3">
        <v>192</v>
      </c>
      <c r="B193" s="3">
        <v>0</v>
      </c>
      <c r="C193" s="3" t="s">
        <v>200</v>
      </c>
      <c r="D193" s="3" t="s">
        <v>27</v>
      </c>
      <c r="E193" s="3" t="s">
        <v>28</v>
      </c>
      <c r="F193" s="3" t="s">
        <v>34</v>
      </c>
      <c r="G193" s="3" t="s">
        <v>42</v>
      </c>
      <c r="H193" s="3" t="s">
        <v>43</v>
      </c>
      <c r="I193" s="3" t="s">
        <v>32</v>
      </c>
      <c r="J193" s="3">
        <v>100.4</v>
      </c>
      <c r="K193" s="3">
        <v>180.2</v>
      </c>
      <c r="L193" s="3">
        <v>66.900000000000006</v>
      </c>
      <c r="M193" s="3">
        <v>55.1</v>
      </c>
      <c r="N193" s="3">
        <v>2661</v>
      </c>
      <c r="O193" s="3" t="s">
        <v>44</v>
      </c>
      <c r="P193" s="3" t="s">
        <v>47</v>
      </c>
      <c r="Q193" s="3">
        <v>136</v>
      </c>
      <c r="R193" s="3" t="s">
        <v>35</v>
      </c>
      <c r="S193" s="3">
        <v>3.19</v>
      </c>
      <c r="T193" s="3">
        <v>3.4</v>
      </c>
      <c r="U193" s="3">
        <v>8.5</v>
      </c>
      <c r="V193" s="3">
        <v>110</v>
      </c>
      <c r="W193" s="3">
        <v>5500</v>
      </c>
      <c r="X193" s="3">
        <v>19</v>
      </c>
      <c r="Y193" s="3">
        <v>24</v>
      </c>
      <c r="Z193" s="3">
        <v>13295</v>
      </c>
      <c r="AA193">
        <f t="shared" si="2"/>
        <v>11965.5</v>
      </c>
    </row>
    <row r="194" spans="1:27" x14ac:dyDescent="0.35">
      <c r="A194" s="3">
        <v>193</v>
      </c>
      <c r="B194" s="3">
        <v>0</v>
      </c>
      <c r="C194" s="3" t="s">
        <v>201</v>
      </c>
      <c r="D194" s="3" t="s">
        <v>107</v>
      </c>
      <c r="E194" s="3" t="s">
        <v>52</v>
      </c>
      <c r="F194" s="3" t="s">
        <v>34</v>
      </c>
      <c r="G194" s="3" t="s">
        <v>42</v>
      </c>
      <c r="H194" s="3" t="s">
        <v>43</v>
      </c>
      <c r="I194" s="3" t="s">
        <v>32</v>
      </c>
      <c r="J194" s="3">
        <v>100.4</v>
      </c>
      <c r="K194" s="3">
        <v>180.2</v>
      </c>
      <c r="L194" s="3">
        <v>66.900000000000006</v>
      </c>
      <c r="M194" s="3">
        <v>55.1</v>
      </c>
      <c r="N194" s="3">
        <v>2579</v>
      </c>
      <c r="O194" s="3" t="s">
        <v>44</v>
      </c>
      <c r="P194" s="3" t="s">
        <v>34</v>
      </c>
      <c r="Q194" s="3">
        <v>97</v>
      </c>
      <c r="R194" s="3" t="s">
        <v>108</v>
      </c>
      <c r="S194" s="3">
        <v>3.01</v>
      </c>
      <c r="T194" s="3">
        <v>3.4</v>
      </c>
      <c r="U194" s="3">
        <v>23</v>
      </c>
      <c r="V194" s="3">
        <v>68</v>
      </c>
      <c r="W194" s="3">
        <v>4500</v>
      </c>
      <c r="X194" s="3">
        <v>33</v>
      </c>
      <c r="Y194" s="3">
        <v>38</v>
      </c>
      <c r="Z194" s="3">
        <v>13845</v>
      </c>
      <c r="AA194">
        <f t="shared" si="2"/>
        <v>12460.5</v>
      </c>
    </row>
    <row r="195" spans="1:27" x14ac:dyDescent="0.35">
      <c r="A195" s="3">
        <v>194</v>
      </c>
      <c r="B195" s="3">
        <v>0</v>
      </c>
      <c r="C195" s="3" t="s">
        <v>197</v>
      </c>
      <c r="D195" s="3" t="s">
        <v>27</v>
      </c>
      <c r="E195" s="3" t="s">
        <v>28</v>
      </c>
      <c r="F195" s="3" t="s">
        <v>34</v>
      </c>
      <c r="G195" s="3" t="s">
        <v>50</v>
      </c>
      <c r="H195" s="3" t="s">
        <v>43</v>
      </c>
      <c r="I195" s="3" t="s">
        <v>32</v>
      </c>
      <c r="J195" s="3">
        <v>100.4</v>
      </c>
      <c r="K195" s="3">
        <v>183.1</v>
      </c>
      <c r="L195" s="3">
        <v>66.900000000000006</v>
      </c>
      <c r="M195" s="3">
        <v>55.1</v>
      </c>
      <c r="N195" s="3">
        <v>2563</v>
      </c>
      <c r="O195" s="3" t="s">
        <v>44</v>
      </c>
      <c r="P195" s="3" t="s">
        <v>34</v>
      </c>
      <c r="Q195" s="3">
        <v>109</v>
      </c>
      <c r="R195" s="3" t="s">
        <v>35</v>
      </c>
      <c r="S195" s="3">
        <v>3.19</v>
      </c>
      <c r="T195" s="3">
        <v>3.4</v>
      </c>
      <c r="U195" s="3">
        <v>9</v>
      </c>
      <c r="V195" s="3">
        <v>88</v>
      </c>
      <c r="W195" s="3">
        <v>5500</v>
      </c>
      <c r="X195" s="3">
        <v>25</v>
      </c>
      <c r="Y195" s="3">
        <v>31</v>
      </c>
      <c r="Z195" s="3">
        <v>12290</v>
      </c>
      <c r="AA195">
        <f t="shared" si="2"/>
        <v>11061</v>
      </c>
    </row>
    <row r="196" spans="1:27" x14ac:dyDescent="0.35">
      <c r="A196" s="3">
        <v>195</v>
      </c>
      <c r="B196" s="3">
        <v>-2</v>
      </c>
      <c r="C196" s="3" t="s">
        <v>202</v>
      </c>
      <c r="D196" s="3" t="s">
        <v>27</v>
      </c>
      <c r="E196" s="3" t="s">
        <v>28</v>
      </c>
      <c r="F196" s="3" t="s">
        <v>34</v>
      </c>
      <c r="G196" s="3" t="s">
        <v>42</v>
      </c>
      <c r="H196" s="3" t="s">
        <v>31</v>
      </c>
      <c r="I196" s="3" t="s">
        <v>32</v>
      </c>
      <c r="J196" s="3">
        <v>104.3</v>
      </c>
      <c r="K196" s="3">
        <v>188.8</v>
      </c>
      <c r="L196" s="3">
        <v>67.2</v>
      </c>
      <c r="M196" s="3">
        <v>56.2</v>
      </c>
      <c r="N196" s="3">
        <v>2912</v>
      </c>
      <c r="O196" s="3" t="s">
        <v>44</v>
      </c>
      <c r="P196" s="3" t="s">
        <v>34</v>
      </c>
      <c r="Q196" s="3">
        <v>141</v>
      </c>
      <c r="R196" s="3" t="s">
        <v>35</v>
      </c>
      <c r="S196" s="3">
        <v>3.78</v>
      </c>
      <c r="T196" s="3">
        <v>3.15</v>
      </c>
      <c r="U196" s="3">
        <v>9.5</v>
      </c>
      <c r="V196" s="3">
        <v>114</v>
      </c>
      <c r="W196" s="3">
        <v>5400</v>
      </c>
      <c r="X196" s="3">
        <v>23</v>
      </c>
      <c r="Y196" s="3">
        <v>28</v>
      </c>
      <c r="Z196" s="3">
        <v>12940</v>
      </c>
      <c r="AA196">
        <f t="shared" si="2"/>
        <v>11646</v>
      </c>
    </row>
    <row r="197" spans="1:27" x14ac:dyDescent="0.35">
      <c r="A197" s="3">
        <v>196</v>
      </c>
      <c r="B197" s="3">
        <v>-1</v>
      </c>
      <c r="C197" s="3" t="s">
        <v>203</v>
      </c>
      <c r="D197" s="3" t="s">
        <v>27</v>
      </c>
      <c r="E197" s="3" t="s">
        <v>28</v>
      </c>
      <c r="F197" s="3" t="s">
        <v>34</v>
      </c>
      <c r="G197" s="3" t="s">
        <v>50</v>
      </c>
      <c r="H197" s="3" t="s">
        <v>31</v>
      </c>
      <c r="I197" s="3" t="s">
        <v>32</v>
      </c>
      <c r="J197" s="3">
        <v>104.3</v>
      </c>
      <c r="K197" s="3">
        <v>188.8</v>
      </c>
      <c r="L197" s="3">
        <v>67.2</v>
      </c>
      <c r="M197" s="3">
        <v>57.5</v>
      </c>
      <c r="N197" s="3">
        <v>3034</v>
      </c>
      <c r="O197" s="3" t="s">
        <v>44</v>
      </c>
      <c r="P197" s="3" t="s">
        <v>34</v>
      </c>
      <c r="Q197" s="3">
        <v>141</v>
      </c>
      <c r="R197" s="3" t="s">
        <v>35</v>
      </c>
      <c r="S197" s="3">
        <v>3.78</v>
      </c>
      <c r="T197" s="3">
        <v>3.15</v>
      </c>
      <c r="U197" s="3">
        <v>9.5</v>
      </c>
      <c r="V197" s="3">
        <v>114</v>
      </c>
      <c r="W197" s="3">
        <v>5400</v>
      </c>
      <c r="X197" s="3">
        <v>23</v>
      </c>
      <c r="Y197" s="3">
        <v>28</v>
      </c>
      <c r="Z197" s="3">
        <v>13415</v>
      </c>
      <c r="AA197">
        <f t="shared" ref="AA197:AA206" si="3">Z197*0.9</f>
        <v>12073.5</v>
      </c>
    </row>
    <row r="198" spans="1:27" x14ac:dyDescent="0.35">
      <c r="A198" s="3">
        <v>197</v>
      </c>
      <c r="B198" s="3">
        <v>-2</v>
      </c>
      <c r="C198" s="3" t="s">
        <v>204</v>
      </c>
      <c r="D198" s="3" t="s">
        <v>27</v>
      </c>
      <c r="E198" s="3" t="s">
        <v>28</v>
      </c>
      <c r="F198" s="3" t="s">
        <v>34</v>
      </c>
      <c r="G198" s="3" t="s">
        <v>42</v>
      </c>
      <c r="H198" s="3" t="s">
        <v>31</v>
      </c>
      <c r="I198" s="3" t="s">
        <v>32</v>
      </c>
      <c r="J198" s="3">
        <v>104.3</v>
      </c>
      <c r="K198" s="3">
        <v>188.8</v>
      </c>
      <c r="L198" s="3">
        <v>67.2</v>
      </c>
      <c r="M198" s="3">
        <v>56.2</v>
      </c>
      <c r="N198" s="3">
        <v>2935</v>
      </c>
      <c r="O198" s="3" t="s">
        <v>44</v>
      </c>
      <c r="P198" s="3" t="s">
        <v>34</v>
      </c>
      <c r="Q198" s="3">
        <v>141</v>
      </c>
      <c r="R198" s="3" t="s">
        <v>35</v>
      </c>
      <c r="S198" s="3">
        <v>3.78</v>
      </c>
      <c r="T198" s="3">
        <v>3.15</v>
      </c>
      <c r="U198" s="3">
        <v>9.5</v>
      </c>
      <c r="V198" s="3">
        <v>114</v>
      </c>
      <c r="W198" s="3">
        <v>5400</v>
      </c>
      <c r="X198" s="3">
        <v>24</v>
      </c>
      <c r="Y198" s="3">
        <v>28</v>
      </c>
      <c r="Z198" s="3">
        <v>15985</v>
      </c>
      <c r="AA198">
        <f t="shared" si="3"/>
        <v>14386.5</v>
      </c>
    </row>
    <row r="199" spans="1:27" x14ac:dyDescent="0.35">
      <c r="A199" s="3">
        <v>198</v>
      </c>
      <c r="B199" s="3">
        <v>-1</v>
      </c>
      <c r="C199" s="3" t="s">
        <v>205</v>
      </c>
      <c r="D199" s="3" t="s">
        <v>27</v>
      </c>
      <c r="E199" s="3" t="s">
        <v>28</v>
      </c>
      <c r="F199" s="3" t="s">
        <v>34</v>
      </c>
      <c r="G199" s="3" t="s">
        <v>50</v>
      </c>
      <c r="H199" s="3" t="s">
        <v>31</v>
      </c>
      <c r="I199" s="3" t="s">
        <v>32</v>
      </c>
      <c r="J199" s="3">
        <v>104.3</v>
      </c>
      <c r="K199" s="3">
        <v>188.8</v>
      </c>
      <c r="L199" s="3">
        <v>67.2</v>
      </c>
      <c r="M199" s="3">
        <v>57.5</v>
      </c>
      <c r="N199" s="3">
        <v>3042</v>
      </c>
      <c r="O199" s="3" t="s">
        <v>44</v>
      </c>
      <c r="P199" s="3" t="s">
        <v>34</v>
      </c>
      <c r="Q199" s="3">
        <v>141</v>
      </c>
      <c r="R199" s="3" t="s">
        <v>35</v>
      </c>
      <c r="S199" s="3">
        <v>3.78</v>
      </c>
      <c r="T199" s="3">
        <v>3.15</v>
      </c>
      <c r="U199" s="3">
        <v>9.5</v>
      </c>
      <c r="V199" s="3">
        <v>114</v>
      </c>
      <c r="W199" s="3">
        <v>5400</v>
      </c>
      <c r="X199" s="3">
        <v>24</v>
      </c>
      <c r="Y199" s="3">
        <v>28</v>
      </c>
      <c r="Z199" s="3">
        <v>16515</v>
      </c>
      <c r="AA199">
        <f t="shared" si="3"/>
        <v>14863.5</v>
      </c>
    </row>
    <row r="200" spans="1:27" x14ac:dyDescent="0.35">
      <c r="A200" s="3">
        <v>199</v>
      </c>
      <c r="B200" s="3">
        <v>-2</v>
      </c>
      <c r="C200" s="3" t="s">
        <v>206</v>
      </c>
      <c r="D200" s="3" t="s">
        <v>27</v>
      </c>
      <c r="E200" s="3" t="s">
        <v>52</v>
      </c>
      <c r="F200" s="3" t="s">
        <v>34</v>
      </c>
      <c r="G200" s="3" t="s">
        <v>42</v>
      </c>
      <c r="H200" s="3" t="s">
        <v>31</v>
      </c>
      <c r="I200" s="3" t="s">
        <v>32</v>
      </c>
      <c r="J200" s="3">
        <v>104.3</v>
      </c>
      <c r="K200" s="3">
        <v>188.8</v>
      </c>
      <c r="L200" s="3">
        <v>67.2</v>
      </c>
      <c r="M200" s="3">
        <v>56.2</v>
      </c>
      <c r="N200" s="3">
        <v>3045</v>
      </c>
      <c r="O200" s="3" t="s">
        <v>44</v>
      </c>
      <c r="P200" s="3" t="s">
        <v>34</v>
      </c>
      <c r="Q200" s="3">
        <v>130</v>
      </c>
      <c r="R200" s="3" t="s">
        <v>35</v>
      </c>
      <c r="S200" s="3">
        <v>3.62</v>
      </c>
      <c r="T200" s="3">
        <v>3.15</v>
      </c>
      <c r="U200" s="3">
        <v>7.5</v>
      </c>
      <c r="V200" s="3">
        <v>162</v>
      </c>
      <c r="W200" s="3">
        <v>5100</v>
      </c>
      <c r="X200" s="3">
        <v>17</v>
      </c>
      <c r="Y200" s="3">
        <v>22</v>
      </c>
      <c r="Z200" s="3">
        <v>18420</v>
      </c>
      <c r="AA200">
        <f t="shared" si="3"/>
        <v>16578</v>
      </c>
    </row>
    <row r="201" spans="1:27" x14ac:dyDescent="0.35">
      <c r="A201" s="3">
        <v>200</v>
      </c>
      <c r="B201" s="3">
        <v>-1</v>
      </c>
      <c r="C201" s="3" t="s">
        <v>207</v>
      </c>
      <c r="D201" s="3" t="s">
        <v>27</v>
      </c>
      <c r="E201" s="3" t="s">
        <v>52</v>
      </c>
      <c r="F201" s="3" t="s">
        <v>34</v>
      </c>
      <c r="G201" s="3" t="s">
        <v>50</v>
      </c>
      <c r="H201" s="3" t="s">
        <v>31</v>
      </c>
      <c r="I201" s="3" t="s">
        <v>32</v>
      </c>
      <c r="J201" s="3">
        <v>104.3</v>
      </c>
      <c r="K201" s="3">
        <v>188.8</v>
      </c>
      <c r="L201" s="3">
        <v>67.2</v>
      </c>
      <c r="M201" s="3">
        <v>57.5</v>
      </c>
      <c r="N201" s="3">
        <v>3157</v>
      </c>
      <c r="O201" s="3" t="s">
        <v>44</v>
      </c>
      <c r="P201" s="3" t="s">
        <v>34</v>
      </c>
      <c r="Q201" s="3">
        <v>130</v>
      </c>
      <c r="R201" s="3" t="s">
        <v>35</v>
      </c>
      <c r="S201" s="3">
        <v>3.62</v>
      </c>
      <c r="T201" s="3">
        <v>3.15</v>
      </c>
      <c r="U201" s="3">
        <v>7.5</v>
      </c>
      <c r="V201" s="3">
        <v>162</v>
      </c>
      <c r="W201" s="3">
        <v>5100</v>
      </c>
      <c r="X201" s="3">
        <v>17</v>
      </c>
      <c r="Y201" s="3">
        <v>22</v>
      </c>
      <c r="Z201" s="3">
        <v>18950</v>
      </c>
      <c r="AA201">
        <f t="shared" si="3"/>
        <v>17055</v>
      </c>
    </row>
    <row r="202" spans="1:27" x14ac:dyDescent="0.35">
      <c r="A202" s="3">
        <v>201</v>
      </c>
      <c r="B202" s="3">
        <v>-1</v>
      </c>
      <c r="C202" s="3" t="s">
        <v>202</v>
      </c>
      <c r="D202" s="3" t="s">
        <v>27</v>
      </c>
      <c r="E202" s="3" t="s">
        <v>28</v>
      </c>
      <c r="F202" s="3" t="s">
        <v>34</v>
      </c>
      <c r="G202" s="3" t="s">
        <v>42</v>
      </c>
      <c r="H202" s="3" t="s">
        <v>31</v>
      </c>
      <c r="I202" s="3" t="s">
        <v>32</v>
      </c>
      <c r="J202" s="3">
        <v>109.1</v>
      </c>
      <c r="K202" s="3">
        <v>188.8</v>
      </c>
      <c r="L202" s="3">
        <v>68.900000000000006</v>
      </c>
      <c r="M202" s="3">
        <v>55.5</v>
      </c>
      <c r="N202" s="3">
        <v>2952</v>
      </c>
      <c r="O202" s="3" t="s">
        <v>44</v>
      </c>
      <c r="P202" s="3" t="s">
        <v>34</v>
      </c>
      <c r="Q202" s="3">
        <v>141</v>
      </c>
      <c r="R202" s="3" t="s">
        <v>35</v>
      </c>
      <c r="S202" s="3">
        <v>3.78</v>
      </c>
      <c r="T202" s="3">
        <v>3.15</v>
      </c>
      <c r="U202" s="3">
        <v>9.5</v>
      </c>
      <c r="V202" s="3">
        <v>114</v>
      </c>
      <c r="W202" s="3">
        <v>5400</v>
      </c>
      <c r="X202" s="3">
        <v>23</v>
      </c>
      <c r="Y202" s="3">
        <v>28</v>
      </c>
      <c r="Z202" s="3">
        <v>16845</v>
      </c>
      <c r="AA202">
        <f t="shared" si="3"/>
        <v>15160.5</v>
      </c>
    </row>
    <row r="203" spans="1:27" x14ac:dyDescent="0.35">
      <c r="A203" s="3">
        <v>202</v>
      </c>
      <c r="B203" s="3">
        <v>-1</v>
      </c>
      <c r="C203" s="3" t="s">
        <v>203</v>
      </c>
      <c r="D203" s="3" t="s">
        <v>27</v>
      </c>
      <c r="E203" s="3" t="s">
        <v>52</v>
      </c>
      <c r="F203" s="3" t="s">
        <v>34</v>
      </c>
      <c r="G203" s="3" t="s">
        <v>42</v>
      </c>
      <c r="H203" s="3" t="s">
        <v>31</v>
      </c>
      <c r="I203" s="3" t="s">
        <v>32</v>
      </c>
      <c r="J203" s="3">
        <v>109.1</v>
      </c>
      <c r="K203" s="3">
        <v>188.8</v>
      </c>
      <c r="L203" s="3">
        <v>68.8</v>
      </c>
      <c r="M203" s="3">
        <v>55.5</v>
      </c>
      <c r="N203" s="3">
        <v>3049</v>
      </c>
      <c r="O203" s="3" t="s">
        <v>44</v>
      </c>
      <c r="P203" s="3" t="s">
        <v>34</v>
      </c>
      <c r="Q203" s="3">
        <v>141</v>
      </c>
      <c r="R203" s="3" t="s">
        <v>35</v>
      </c>
      <c r="S203" s="3">
        <v>3.78</v>
      </c>
      <c r="T203" s="3">
        <v>3.15</v>
      </c>
      <c r="U203" s="3">
        <v>8.6999999999999993</v>
      </c>
      <c r="V203" s="3">
        <v>160</v>
      </c>
      <c r="W203" s="3">
        <v>5300</v>
      </c>
      <c r="X203" s="3">
        <v>19</v>
      </c>
      <c r="Y203" s="3">
        <v>25</v>
      </c>
      <c r="Z203" s="3">
        <v>19045</v>
      </c>
      <c r="AA203">
        <f t="shared" si="3"/>
        <v>17140.5</v>
      </c>
    </row>
    <row r="204" spans="1:27" x14ac:dyDescent="0.35">
      <c r="A204" s="3">
        <v>203</v>
      </c>
      <c r="B204" s="3">
        <v>-1</v>
      </c>
      <c r="C204" s="3" t="s">
        <v>204</v>
      </c>
      <c r="D204" s="3" t="s">
        <v>27</v>
      </c>
      <c r="E204" s="3" t="s">
        <v>28</v>
      </c>
      <c r="F204" s="3" t="s">
        <v>34</v>
      </c>
      <c r="G204" s="3" t="s">
        <v>42</v>
      </c>
      <c r="H204" s="3" t="s">
        <v>31</v>
      </c>
      <c r="I204" s="3" t="s">
        <v>32</v>
      </c>
      <c r="J204" s="3">
        <v>109.1</v>
      </c>
      <c r="K204" s="3">
        <v>188.8</v>
      </c>
      <c r="L204" s="3">
        <v>68.900000000000006</v>
      </c>
      <c r="M204" s="3">
        <v>55.5</v>
      </c>
      <c r="N204" s="3">
        <v>3012</v>
      </c>
      <c r="O204" s="3" t="s">
        <v>39</v>
      </c>
      <c r="P204" s="3" t="s">
        <v>40</v>
      </c>
      <c r="Q204" s="3">
        <v>173</v>
      </c>
      <c r="R204" s="3" t="s">
        <v>35</v>
      </c>
      <c r="S204" s="3">
        <v>3.58</v>
      </c>
      <c r="T204" s="3">
        <v>2.87</v>
      </c>
      <c r="U204" s="3">
        <v>8.8000000000000007</v>
      </c>
      <c r="V204" s="3">
        <v>134</v>
      </c>
      <c r="W204" s="3">
        <v>5500</v>
      </c>
      <c r="X204" s="3">
        <v>18</v>
      </c>
      <c r="Y204" s="3">
        <v>23</v>
      </c>
      <c r="Z204" s="3">
        <v>21485</v>
      </c>
      <c r="AA204">
        <f t="shared" si="3"/>
        <v>19336.5</v>
      </c>
    </row>
    <row r="205" spans="1:27" x14ac:dyDescent="0.35">
      <c r="A205" s="3">
        <v>204</v>
      </c>
      <c r="B205" s="3">
        <v>-1</v>
      </c>
      <c r="C205" s="3" t="s">
        <v>208</v>
      </c>
      <c r="D205" s="3" t="s">
        <v>107</v>
      </c>
      <c r="E205" s="3" t="s">
        <v>52</v>
      </c>
      <c r="F205" s="3" t="s">
        <v>34</v>
      </c>
      <c r="G205" s="3" t="s">
        <v>42</v>
      </c>
      <c r="H205" s="3" t="s">
        <v>31</v>
      </c>
      <c r="I205" s="3" t="s">
        <v>32</v>
      </c>
      <c r="J205" s="3">
        <v>109.1</v>
      </c>
      <c r="K205" s="3">
        <v>188.8</v>
      </c>
      <c r="L205" s="3">
        <v>68.900000000000006</v>
      </c>
      <c r="M205" s="3">
        <v>55.5</v>
      </c>
      <c r="N205" s="3">
        <v>3217</v>
      </c>
      <c r="O205" s="3" t="s">
        <v>44</v>
      </c>
      <c r="P205" s="3" t="s">
        <v>40</v>
      </c>
      <c r="Q205" s="3">
        <v>145</v>
      </c>
      <c r="R205" s="3" t="s">
        <v>108</v>
      </c>
      <c r="S205" s="3">
        <v>3.01</v>
      </c>
      <c r="T205" s="3">
        <v>3.4</v>
      </c>
      <c r="U205" s="3">
        <v>23</v>
      </c>
      <c r="V205" s="3">
        <v>106</v>
      </c>
      <c r="W205" s="3">
        <v>4800</v>
      </c>
      <c r="X205" s="3">
        <v>26</v>
      </c>
      <c r="Y205" s="3">
        <v>27</v>
      </c>
      <c r="Z205" s="3">
        <v>22470</v>
      </c>
      <c r="AA205">
        <f t="shared" si="3"/>
        <v>20223</v>
      </c>
    </row>
    <row r="206" spans="1:27" x14ac:dyDescent="0.35">
      <c r="A206" s="3">
        <v>205</v>
      </c>
      <c r="B206" s="3">
        <v>-1</v>
      </c>
      <c r="C206" s="3" t="s">
        <v>206</v>
      </c>
      <c r="D206" s="3" t="s">
        <v>27</v>
      </c>
      <c r="E206" s="3" t="s">
        <v>52</v>
      </c>
      <c r="F206" s="3" t="s">
        <v>34</v>
      </c>
      <c r="G206" s="3" t="s">
        <v>42</v>
      </c>
      <c r="H206" s="3" t="s">
        <v>31</v>
      </c>
      <c r="I206" s="3" t="s">
        <v>32</v>
      </c>
      <c r="J206" s="3">
        <v>109.1</v>
      </c>
      <c r="K206" s="3">
        <v>188.8</v>
      </c>
      <c r="L206" s="3">
        <v>68.900000000000006</v>
      </c>
      <c r="M206" s="3">
        <v>55.5</v>
      </c>
      <c r="N206" s="3">
        <v>3062</v>
      </c>
      <c r="O206" s="3" t="s">
        <v>44</v>
      </c>
      <c r="P206" s="3" t="s">
        <v>34</v>
      </c>
      <c r="Q206" s="3">
        <v>141</v>
      </c>
      <c r="R206" s="3" t="s">
        <v>35</v>
      </c>
      <c r="S206" s="3">
        <v>3.78</v>
      </c>
      <c r="T206" s="3">
        <v>3.15</v>
      </c>
      <c r="U206" s="3">
        <v>9.5</v>
      </c>
      <c r="V206" s="3">
        <v>114</v>
      </c>
      <c r="W206" s="3">
        <v>5400</v>
      </c>
      <c r="X206" s="3">
        <v>19</v>
      </c>
      <c r="Y206" s="3">
        <v>25</v>
      </c>
      <c r="Z206" s="3">
        <v>22625</v>
      </c>
      <c r="AA206">
        <f t="shared" si="3"/>
        <v>20362.5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CD118-9DC8-4C20-A9D0-2ABD34A5F5B0}">
  <dimension ref="A1:AT206"/>
  <sheetViews>
    <sheetView tabSelected="1" topLeftCell="Z1" workbookViewId="0">
      <selection activeCell="AG9" sqref="AG9"/>
    </sheetView>
  </sheetViews>
  <sheetFormatPr defaultRowHeight="14.5" x14ac:dyDescent="0.35"/>
  <sheetData>
    <row r="1" spans="1:46" x14ac:dyDescent="0.35">
      <c r="A1" s="2" t="s">
        <v>219</v>
      </c>
      <c r="B1" s="2" t="s">
        <v>220</v>
      </c>
      <c r="AB1" s="2" t="s">
        <v>25</v>
      </c>
      <c r="AC1" s="1" t="s">
        <v>237</v>
      </c>
      <c r="AD1" s="1" t="s">
        <v>238</v>
      </c>
      <c r="AH1" s="5" t="s">
        <v>234</v>
      </c>
    </row>
    <row r="2" spans="1:46" x14ac:dyDescent="0.35">
      <c r="A2" s="8" t="s">
        <v>221</v>
      </c>
      <c r="B2" s="9">
        <v>100</v>
      </c>
      <c r="AB2" s="3">
        <v>13495</v>
      </c>
      <c r="AC2">
        <f>AB2*0.18</f>
        <v>2429.1</v>
      </c>
      <c r="AD2">
        <f>AB2+AC2</f>
        <v>15924.1</v>
      </c>
      <c r="AE2">
        <f>AB2*1.18</f>
        <v>15924.099999999999</v>
      </c>
      <c r="AH2" s="5" t="s">
        <v>235</v>
      </c>
      <c r="AR2" s="3">
        <v>10795</v>
      </c>
    </row>
    <row r="3" spans="1:46" x14ac:dyDescent="0.35">
      <c r="A3" s="8" t="s">
        <v>222</v>
      </c>
      <c r="B3" s="9">
        <v>200</v>
      </c>
      <c r="U3" s="5" t="s">
        <v>228</v>
      </c>
      <c r="V3" s="5" t="s">
        <v>229</v>
      </c>
      <c r="W3" s="5" t="s">
        <v>230</v>
      </c>
      <c r="X3" s="5" t="s">
        <v>231</v>
      </c>
      <c r="AB3" s="3">
        <v>16500</v>
      </c>
      <c r="AC3">
        <f t="shared" ref="AC3:AC66" si="0">AB3*0.18</f>
        <v>2970</v>
      </c>
      <c r="AD3">
        <f t="shared" ref="AD3:AD66" si="1">AB3+AC3</f>
        <v>19470</v>
      </c>
      <c r="AE3">
        <f t="shared" ref="AE3:AE66" si="2">AB3*1.18</f>
        <v>19470</v>
      </c>
      <c r="AG3">
        <v>15838.15</v>
      </c>
      <c r="AH3" s="5" t="s">
        <v>236</v>
      </c>
      <c r="AR3" s="3">
        <v>18344</v>
      </c>
      <c r="AT3">
        <f>AVERAGE(AR2:AR21)</f>
        <v>15838.15</v>
      </c>
    </row>
    <row r="4" spans="1:46" x14ac:dyDescent="0.35">
      <c r="A4" s="8" t="s">
        <v>223</v>
      </c>
      <c r="B4" s="9">
        <v>300</v>
      </c>
      <c r="U4" s="5" t="s">
        <v>232</v>
      </c>
      <c r="V4">
        <v>90</v>
      </c>
      <c r="W4">
        <v>98</v>
      </c>
      <c r="X4">
        <v>95</v>
      </c>
      <c r="AB4" s="3">
        <v>16500</v>
      </c>
      <c r="AC4">
        <f t="shared" si="0"/>
        <v>2970</v>
      </c>
      <c r="AD4">
        <f t="shared" si="1"/>
        <v>19470</v>
      </c>
      <c r="AE4">
        <f t="shared" si="2"/>
        <v>19470</v>
      </c>
      <c r="AR4" s="3">
        <v>25552</v>
      </c>
    </row>
    <row r="5" spans="1:46" x14ac:dyDescent="0.35">
      <c r="A5" s="8" t="s">
        <v>224</v>
      </c>
      <c r="B5" s="9">
        <v>400</v>
      </c>
      <c r="U5" s="5" t="s">
        <v>233</v>
      </c>
      <c r="V5">
        <v>95</v>
      </c>
      <c r="W5">
        <v>96</v>
      </c>
      <c r="X5">
        <v>85</v>
      </c>
      <c r="AB5" s="3">
        <v>13950</v>
      </c>
      <c r="AC5">
        <f t="shared" si="0"/>
        <v>2511</v>
      </c>
      <c r="AD5">
        <f t="shared" si="1"/>
        <v>16461</v>
      </c>
      <c r="AE5">
        <f t="shared" si="2"/>
        <v>16461</v>
      </c>
      <c r="AR5" s="3">
        <v>28248</v>
      </c>
    </row>
    <row r="6" spans="1:46" x14ac:dyDescent="0.35">
      <c r="A6" s="8" t="s">
        <v>225</v>
      </c>
      <c r="B6" s="9">
        <v>450</v>
      </c>
      <c r="AB6" s="3">
        <v>17450</v>
      </c>
      <c r="AC6">
        <f t="shared" si="0"/>
        <v>3141</v>
      </c>
      <c r="AD6">
        <f t="shared" si="1"/>
        <v>20591</v>
      </c>
      <c r="AE6">
        <f t="shared" si="2"/>
        <v>20591</v>
      </c>
      <c r="AR6" s="3">
        <v>28176</v>
      </c>
    </row>
    <row r="7" spans="1:46" x14ac:dyDescent="0.35">
      <c r="A7" s="8" t="s">
        <v>226</v>
      </c>
      <c r="B7" s="9">
        <v>490</v>
      </c>
      <c r="AB7" s="3">
        <v>15250</v>
      </c>
      <c r="AC7">
        <f t="shared" si="0"/>
        <v>2745</v>
      </c>
      <c r="AD7">
        <f t="shared" si="1"/>
        <v>17995</v>
      </c>
      <c r="AE7">
        <f t="shared" si="2"/>
        <v>17995</v>
      </c>
      <c r="AR7" s="3">
        <v>31600</v>
      </c>
    </row>
    <row r="8" spans="1:46" x14ac:dyDescent="0.35">
      <c r="A8" s="8" t="s">
        <v>227</v>
      </c>
      <c r="B8" s="9">
        <v>560</v>
      </c>
      <c r="AB8" s="3">
        <v>17710</v>
      </c>
      <c r="AC8">
        <f t="shared" si="0"/>
        <v>3187.7999999999997</v>
      </c>
      <c r="AD8">
        <f t="shared" si="1"/>
        <v>20897.8</v>
      </c>
      <c r="AE8">
        <f t="shared" si="2"/>
        <v>20897.8</v>
      </c>
      <c r="AR8" s="3">
        <v>7099</v>
      </c>
    </row>
    <row r="9" spans="1:46" x14ac:dyDescent="0.35">
      <c r="B9">
        <f>SUM(B2:B8)</f>
        <v>2500</v>
      </c>
      <c r="AB9" s="3">
        <v>18920</v>
      </c>
      <c r="AC9">
        <f t="shared" si="0"/>
        <v>3405.6</v>
      </c>
      <c r="AD9">
        <f t="shared" si="1"/>
        <v>22325.599999999999</v>
      </c>
      <c r="AE9">
        <f t="shared" si="2"/>
        <v>22325.599999999999</v>
      </c>
      <c r="AR9" s="3">
        <v>13200</v>
      </c>
    </row>
    <row r="10" spans="1:46" x14ac:dyDescent="0.35">
      <c r="AB10" s="3">
        <v>23875</v>
      </c>
      <c r="AC10">
        <f t="shared" si="0"/>
        <v>4297.5</v>
      </c>
      <c r="AD10">
        <f t="shared" si="1"/>
        <v>28172.5</v>
      </c>
      <c r="AE10">
        <f t="shared" si="2"/>
        <v>28172.5</v>
      </c>
      <c r="AR10" s="3">
        <v>13860</v>
      </c>
    </row>
    <row r="11" spans="1:46" x14ac:dyDescent="0.35">
      <c r="AB11" s="3">
        <v>17859.167000000001</v>
      </c>
      <c r="AC11">
        <f t="shared" si="0"/>
        <v>3214.6500599999999</v>
      </c>
      <c r="AD11">
        <f t="shared" si="1"/>
        <v>21073.817060000001</v>
      </c>
      <c r="AE11">
        <f t="shared" si="2"/>
        <v>21073.817060000001</v>
      </c>
      <c r="AR11" s="3">
        <v>16900</v>
      </c>
    </row>
    <row r="12" spans="1:46" x14ac:dyDescent="0.35">
      <c r="AB12" s="3">
        <v>16430</v>
      </c>
      <c r="AC12">
        <f t="shared" si="0"/>
        <v>2957.4</v>
      </c>
      <c r="AD12">
        <f t="shared" si="1"/>
        <v>19387.400000000001</v>
      </c>
      <c r="AE12">
        <f t="shared" si="2"/>
        <v>19387.399999999998</v>
      </c>
      <c r="AR12" s="3">
        <v>17075</v>
      </c>
    </row>
    <row r="13" spans="1:46" x14ac:dyDescent="0.35">
      <c r="AB13" s="3">
        <v>16925</v>
      </c>
      <c r="AC13">
        <f t="shared" si="0"/>
        <v>3046.5</v>
      </c>
      <c r="AD13">
        <f t="shared" si="1"/>
        <v>19971.5</v>
      </c>
      <c r="AE13">
        <f t="shared" si="2"/>
        <v>19971.5</v>
      </c>
      <c r="AR13" s="3">
        <v>17950</v>
      </c>
    </row>
    <row r="14" spans="1:46" x14ac:dyDescent="0.35">
      <c r="AB14" s="3">
        <v>20970</v>
      </c>
      <c r="AC14">
        <f t="shared" si="0"/>
        <v>3774.6</v>
      </c>
      <c r="AD14">
        <f t="shared" si="1"/>
        <v>24744.6</v>
      </c>
      <c r="AE14">
        <f t="shared" si="2"/>
        <v>24744.6</v>
      </c>
      <c r="AR14" s="3">
        <v>7898</v>
      </c>
    </row>
    <row r="15" spans="1:46" x14ac:dyDescent="0.35">
      <c r="AB15" s="3">
        <v>21105</v>
      </c>
      <c r="AC15">
        <f t="shared" si="0"/>
        <v>3798.8999999999996</v>
      </c>
      <c r="AD15">
        <f t="shared" si="1"/>
        <v>24903.9</v>
      </c>
      <c r="AE15">
        <f t="shared" si="2"/>
        <v>24903.899999999998</v>
      </c>
      <c r="AR15" s="3">
        <v>7788</v>
      </c>
    </row>
    <row r="16" spans="1:46" x14ac:dyDescent="0.35">
      <c r="AB16" s="3">
        <v>24565</v>
      </c>
      <c r="AC16">
        <f t="shared" si="0"/>
        <v>4421.7</v>
      </c>
      <c r="AD16">
        <f t="shared" si="1"/>
        <v>28986.7</v>
      </c>
      <c r="AE16">
        <f t="shared" si="2"/>
        <v>28986.699999999997</v>
      </c>
      <c r="AR16" s="3">
        <v>10698</v>
      </c>
    </row>
    <row r="17" spans="28:44" x14ac:dyDescent="0.35">
      <c r="AB17" s="3">
        <v>30760</v>
      </c>
      <c r="AC17">
        <f t="shared" si="0"/>
        <v>5536.8</v>
      </c>
      <c r="AD17">
        <f t="shared" si="1"/>
        <v>36296.800000000003</v>
      </c>
      <c r="AE17">
        <f t="shared" si="2"/>
        <v>36296.799999999996</v>
      </c>
      <c r="AR17" s="3">
        <v>7775</v>
      </c>
    </row>
    <row r="18" spans="28:44" x14ac:dyDescent="0.35">
      <c r="AB18" s="3">
        <v>41315</v>
      </c>
      <c r="AC18">
        <f t="shared" si="0"/>
        <v>7436.7</v>
      </c>
      <c r="AD18">
        <f t="shared" si="1"/>
        <v>48751.7</v>
      </c>
      <c r="AE18">
        <f t="shared" si="2"/>
        <v>48751.7</v>
      </c>
      <c r="AR18" s="3">
        <v>7995</v>
      </c>
    </row>
    <row r="19" spans="28:44" x14ac:dyDescent="0.35">
      <c r="AB19" s="3">
        <v>36880</v>
      </c>
      <c r="AC19">
        <f t="shared" si="0"/>
        <v>6638.4</v>
      </c>
      <c r="AD19">
        <f t="shared" si="1"/>
        <v>43518.400000000001</v>
      </c>
      <c r="AE19">
        <f t="shared" si="2"/>
        <v>43518.399999999994</v>
      </c>
      <c r="AR19" s="3">
        <v>9495</v>
      </c>
    </row>
    <row r="20" spans="28:44" x14ac:dyDescent="0.35">
      <c r="AB20" s="3">
        <v>5151</v>
      </c>
      <c r="AC20">
        <f t="shared" si="0"/>
        <v>927.18</v>
      </c>
      <c r="AD20">
        <f t="shared" si="1"/>
        <v>6078.18</v>
      </c>
      <c r="AE20">
        <f t="shared" si="2"/>
        <v>6078.1799999999994</v>
      </c>
      <c r="AR20" s="3">
        <v>13845</v>
      </c>
    </row>
    <row r="21" spans="28:44" x14ac:dyDescent="0.35">
      <c r="AB21" s="3">
        <v>6295</v>
      </c>
      <c r="AC21">
        <f t="shared" si="0"/>
        <v>1133.0999999999999</v>
      </c>
      <c r="AD21">
        <f t="shared" si="1"/>
        <v>7428.1</v>
      </c>
      <c r="AE21">
        <f t="shared" si="2"/>
        <v>7428.0999999999995</v>
      </c>
      <c r="AR21" s="3">
        <v>22470</v>
      </c>
    </row>
    <row r="22" spans="28:44" x14ac:dyDescent="0.35">
      <c r="AB22" s="3">
        <v>6575</v>
      </c>
      <c r="AC22">
        <f t="shared" si="0"/>
        <v>1183.5</v>
      </c>
      <c r="AD22">
        <f t="shared" si="1"/>
        <v>7758.5</v>
      </c>
      <c r="AE22">
        <f t="shared" si="2"/>
        <v>7758.5</v>
      </c>
    </row>
    <row r="23" spans="28:44" x14ac:dyDescent="0.35">
      <c r="AB23" s="3">
        <v>5572</v>
      </c>
      <c r="AC23">
        <f t="shared" si="0"/>
        <v>1002.9599999999999</v>
      </c>
      <c r="AD23">
        <f t="shared" si="1"/>
        <v>6574.96</v>
      </c>
      <c r="AE23">
        <f t="shared" si="2"/>
        <v>6574.96</v>
      </c>
    </row>
    <row r="24" spans="28:44" x14ac:dyDescent="0.35">
      <c r="AB24" s="3">
        <v>6377</v>
      </c>
      <c r="AC24">
        <f t="shared" si="0"/>
        <v>1147.8599999999999</v>
      </c>
      <c r="AD24">
        <f t="shared" si="1"/>
        <v>7524.86</v>
      </c>
      <c r="AE24">
        <f t="shared" si="2"/>
        <v>7524.86</v>
      </c>
    </row>
    <row r="25" spans="28:44" x14ac:dyDescent="0.35">
      <c r="AB25" s="3">
        <v>7957</v>
      </c>
      <c r="AC25">
        <f t="shared" si="0"/>
        <v>1432.26</v>
      </c>
      <c r="AD25">
        <f t="shared" si="1"/>
        <v>9389.26</v>
      </c>
      <c r="AE25">
        <f t="shared" si="2"/>
        <v>9389.26</v>
      </c>
    </row>
    <row r="26" spans="28:44" x14ac:dyDescent="0.35">
      <c r="AB26" s="3">
        <v>6229</v>
      </c>
      <c r="AC26">
        <f t="shared" si="0"/>
        <v>1121.22</v>
      </c>
      <c r="AD26">
        <f t="shared" si="1"/>
        <v>7350.22</v>
      </c>
      <c r="AE26">
        <f t="shared" si="2"/>
        <v>7350.2199999999993</v>
      </c>
    </row>
    <row r="27" spans="28:44" x14ac:dyDescent="0.35">
      <c r="AB27" s="3">
        <v>6692</v>
      </c>
      <c r="AC27">
        <f t="shared" si="0"/>
        <v>1204.56</v>
      </c>
      <c r="AD27">
        <f t="shared" si="1"/>
        <v>7896.5599999999995</v>
      </c>
      <c r="AE27">
        <f t="shared" si="2"/>
        <v>7896.5599999999995</v>
      </c>
    </row>
    <row r="28" spans="28:44" x14ac:dyDescent="0.35">
      <c r="AB28" s="3">
        <v>7609</v>
      </c>
      <c r="AC28">
        <f t="shared" si="0"/>
        <v>1369.62</v>
      </c>
      <c r="AD28">
        <f t="shared" si="1"/>
        <v>8978.619999999999</v>
      </c>
      <c r="AE28">
        <f t="shared" si="2"/>
        <v>8978.619999999999</v>
      </c>
    </row>
    <row r="29" spans="28:44" x14ac:dyDescent="0.35">
      <c r="AB29" s="3">
        <v>8558</v>
      </c>
      <c r="AC29">
        <f t="shared" si="0"/>
        <v>1540.44</v>
      </c>
      <c r="AD29">
        <f t="shared" si="1"/>
        <v>10098.44</v>
      </c>
      <c r="AE29">
        <f t="shared" si="2"/>
        <v>10098.439999999999</v>
      </c>
    </row>
    <row r="30" spans="28:44" x14ac:dyDescent="0.35">
      <c r="AB30" s="3">
        <v>8921</v>
      </c>
      <c r="AC30">
        <f t="shared" si="0"/>
        <v>1605.78</v>
      </c>
      <c r="AD30">
        <f t="shared" si="1"/>
        <v>10526.78</v>
      </c>
      <c r="AE30">
        <f t="shared" si="2"/>
        <v>10526.779999999999</v>
      </c>
    </row>
    <row r="31" spans="28:44" x14ac:dyDescent="0.35">
      <c r="AB31" s="3">
        <v>12964</v>
      </c>
      <c r="AC31">
        <f t="shared" si="0"/>
        <v>2333.52</v>
      </c>
      <c r="AD31">
        <f t="shared" si="1"/>
        <v>15297.52</v>
      </c>
      <c r="AE31">
        <f t="shared" si="2"/>
        <v>15297.519999999999</v>
      </c>
    </row>
    <row r="32" spans="28:44" x14ac:dyDescent="0.35">
      <c r="AB32" s="3">
        <v>6479</v>
      </c>
      <c r="AC32">
        <f t="shared" si="0"/>
        <v>1166.22</v>
      </c>
      <c r="AD32">
        <f t="shared" si="1"/>
        <v>7645.22</v>
      </c>
      <c r="AE32">
        <f t="shared" si="2"/>
        <v>7645.2199999999993</v>
      </c>
    </row>
    <row r="33" spans="3:31" x14ac:dyDescent="0.35">
      <c r="AB33" s="3">
        <v>6855</v>
      </c>
      <c r="AC33">
        <f t="shared" si="0"/>
        <v>1233.8999999999999</v>
      </c>
      <c r="AD33">
        <f t="shared" si="1"/>
        <v>8088.9</v>
      </c>
      <c r="AE33">
        <f t="shared" si="2"/>
        <v>8088.9</v>
      </c>
    </row>
    <row r="34" spans="3:31" x14ac:dyDescent="0.35">
      <c r="AB34" s="3">
        <v>5399</v>
      </c>
      <c r="AC34">
        <f t="shared" si="0"/>
        <v>971.81999999999994</v>
      </c>
      <c r="AD34">
        <f t="shared" si="1"/>
        <v>6370.82</v>
      </c>
      <c r="AE34">
        <f t="shared" si="2"/>
        <v>6370.82</v>
      </c>
    </row>
    <row r="35" spans="3:31" x14ac:dyDescent="0.35">
      <c r="AB35" s="3">
        <v>6529</v>
      </c>
      <c r="AC35">
        <f t="shared" si="0"/>
        <v>1175.22</v>
      </c>
      <c r="AD35">
        <f t="shared" si="1"/>
        <v>7704.22</v>
      </c>
      <c r="AE35">
        <f t="shared" si="2"/>
        <v>7704.2199999999993</v>
      </c>
    </row>
    <row r="36" spans="3:31" x14ac:dyDescent="0.35">
      <c r="AB36" s="3">
        <v>7129</v>
      </c>
      <c r="AC36">
        <f t="shared" si="0"/>
        <v>1283.22</v>
      </c>
      <c r="AD36">
        <f t="shared" si="1"/>
        <v>8412.2199999999993</v>
      </c>
      <c r="AE36">
        <f t="shared" si="2"/>
        <v>8412.2199999999993</v>
      </c>
    </row>
    <row r="37" spans="3:31" x14ac:dyDescent="0.35">
      <c r="C37" s="5" t="s">
        <v>234</v>
      </c>
      <c r="AB37" s="3">
        <v>7295</v>
      </c>
      <c r="AC37">
        <f t="shared" si="0"/>
        <v>1313.1</v>
      </c>
      <c r="AD37">
        <f t="shared" si="1"/>
        <v>8608.1</v>
      </c>
      <c r="AE37">
        <f t="shared" si="2"/>
        <v>8608.1</v>
      </c>
    </row>
    <row r="38" spans="3:31" x14ac:dyDescent="0.35">
      <c r="C38" s="5" t="s">
        <v>235</v>
      </c>
      <c r="AB38" s="3">
        <v>7295</v>
      </c>
      <c r="AC38">
        <f t="shared" si="0"/>
        <v>1313.1</v>
      </c>
      <c r="AD38">
        <f t="shared" si="1"/>
        <v>8608.1</v>
      </c>
      <c r="AE38">
        <f t="shared" si="2"/>
        <v>8608.1</v>
      </c>
    </row>
    <row r="39" spans="3:31" x14ac:dyDescent="0.35">
      <c r="C39" s="5" t="s">
        <v>236</v>
      </c>
      <c r="AB39" s="3">
        <v>7895</v>
      </c>
      <c r="AC39">
        <f t="shared" si="0"/>
        <v>1421.1</v>
      </c>
      <c r="AD39">
        <f t="shared" si="1"/>
        <v>9316.1</v>
      </c>
      <c r="AE39">
        <f t="shared" si="2"/>
        <v>9316.1</v>
      </c>
    </row>
    <row r="40" spans="3:31" x14ac:dyDescent="0.35">
      <c r="AB40" s="3">
        <v>9095</v>
      </c>
      <c r="AC40">
        <f t="shared" si="0"/>
        <v>1637.1</v>
      </c>
      <c r="AD40">
        <f t="shared" si="1"/>
        <v>10732.1</v>
      </c>
      <c r="AE40">
        <f t="shared" si="2"/>
        <v>10732.099999999999</v>
      </c>
    </row>
    <row r="41" spans="3:31" x14ac:dyDescent="0.35">
      <c r="AB41" s="3">
        <v>8845</v>
      </c>
      <c r="AC41">
        <f t="shared" si="0"/>
        <v>1592.1</v>
      </c>
      <c r="AD41">
        <f t="shared" si="1"/>
        <v>10437.1</v>
      </c>
      <c r="AE41">
        <f t="shared" si="2"/>
        <v>10437.099999999999</v>
      </c>
    </row>
    <row r="42" spans="3:31" x14ac:dyDescent="0.35">
      <c r="AB42" s="3">
        <v>10295</v>
      </c>
      <c r="AC42">
        <f t="shared" si="0"/>
        <v>1853.1</v>
      </c>
      <c r="AD42">
        <f t="shared" si="1"/>
        <v>12148.1</v>
      </c>
      <c r="AE42">
        <f t="shared" si="2"/>
        <v>12148.099999999999</v>
      </c>
    </row>
    <row r="43" spans="3:31" x14ac:dyDescent="0.35">
      <c r="AB43" s="3">
        <v>12945</v>
      </c>
      <c r="AC43">
        <f t="shared" si="0"/>
        <v>2330.1</v>
      </c>
      <c r="AD43">
        <f t="shared" si="1"/>
        <v>15275.1</v>
      </c>
      <c r="AE43">
        <f t="shared" si="2"/>
        <v>15275.099999999999</v>
      </c>
    </row>
    <row r="44" spans="3:31" x14ac:dyDescent="0.35">
      <c r="AB44" s="3">
        <v>10345</v>
      </c>
      <c r="AC44">
        <f t="shared" si="0"/>
        <v>1862.1</v>
      </c>
      <c r="AD44">
        <f t="shared" si="1"/>
        <v>12207.1</v>
      </c>
      <c r="AE44">
        <f t="shared" si="2"/>
        <v>12207.099999999999</v>
      </c>
    </row>
    <row r="45" spans="3:31" x14ac:dyDescent="0.35">
      <c r="AB45" s="3">
        <v>6785</v>
      </c>
      <c r="AC45">
        <f t="shared" si="0"/>
        <v>1221.3</v>
      </c>
      <c r="AD45">
        <f t="shared" si="1"/>
        <v>8006.3</v>
      </c>
      <c r="AE45">
        <f t="shared" si="2"/>
        <v>8006.2999999999993</v>
      </c>
    </row>
    <row r="46" spans="3:31" x14ac:dyDescent="0.35">
      <c r="AB46" s="3">
        <v>8916.5</v>
      </c>
      <c r="AC46">
        <f t="shared" si="0"/>
        <v>1604.97</v>
      </c>
      <c r="AD46">
        <f t="shared" si="1"/>
        <v>10521.47</v>
      </c>
      <c r="AE46">
        <f t="shared" si="2"/>
        <v>10521.47</v>
      </c>
    </row>
    <row r="47" spans="3:31" x14ac:dyDescent="0.35">
      <c r="AB47" s="3">
        <v>8916.5</v>
      </c>
      <c r="AC47">
        <f t="shared" si="0"/>
        <v>1604.97</v>
      </c>
      <c r="AD47">
        <f t="shared" si="1"/>
        <v>10521.47</v>
      </c>
      <c r="AE47">
        <f t="shared" si="2"/>
        <v>10521.47</v>
      </c>
    </row>
    <row r="48" spans="3:31" x14ac:dyDescent="0.35">
      <c r="AB48" s="3">
        <v>11048</v>
      </c>
      <c r="AC48">
        <f t="shared" si="0"/>
        <v>1988.6399999999999</v>
      </c>
      <c r="AD48">
        <f t="shared" si="1"/>
        <v>13036.64</v>
      </c>
      <c r="AE48">
        <f t="shared" si="2"/>
        <v>13036.64</v>
      </c>
    </row>
    <row r="49" spans="28:31" x14ac:dyDescent="0.35">
      <c r="AB49" s="3">
        <v>32250</v>
      </c>
      <c r="AC49">
        <f t="shared" si="0"/>
        <v>5805</v>
      </c>
      <c r="AD49">
        <f t="shared" si="1"/>
        <v>38055</v>
      </c>
      <c r="AE49">
        <f t="shared" si="2"/>
        <v>38055</v>
      </c>
    </row>
    <row r="50" spans="28:31" x14ac:dyDescent="0.35">
      <c r="AB50" s="3">
        <v>35550</v>
      </c>
      <c r="AC50">
        <f t="shared" si="0"/>
        <v>6399</v>
      </c>
      <c r="AD50">
        <f t="shared" si="1"/>
        <v>41949</v>
      </c>
      <c r="AE50">
        <f t="shared" si="2"/>
        <v>41949</v>
      </c>
    </row>
    <row r="51" spans="28:31" x14ac:dyDescent="0.35">
      <c r="AB51" s="3">
        <v>36000</v>
      </c>
      <c r="AC51">
        <f t="shared" si="0"/>
        <v>6480</v>
      </c>
      <c r="AD51">
        <f t="shared" si="1"/>
        <v>42480</v>
      </c>
      <c r="AE51">
        <f t="shared" si="2"/>
        <v>42480</v>
      </c>
    </row>
    <row r="52" spans="28:31" x14ac:dyDescent="0.35">
      <c r="AB52" s="3">
        <v>5195</v>
      </c>
      <c r="AC52">
        <f t="shared" si="0"/>
        <v>935.09999999999991</v>
      </c>
      <c r="AD52">
        <f t="shared" si="1"/>
        <v>6130.1</v>
      </c>
      <c r="AE52">
        <f t="shared" si="2"/>
        <v>6130.0999999999995</v>
      </c>
    </row>
    <row r="53" spans="28:31" x14ac:dyDescent="0.35">
      <c r="AB53" s="3">
        <v>6095</v>
      </c>
      <c r="AC53">
        <f t="shared" si="0"/>
        <v>1097.0999999999999</v>
      </c>
      <c r="AD53">
        <f t="shared" si="1"/>
        <v>7192.1</v>
      </c>
      <c r="AE53">
        <f t="shared" si="2"/>
        <v>7192.0999999999995</v>
      </c>
    </row>
    <row r="54" spans="28:31" x14ac:dyDescent="0.35">
      <c r="AB54" s="3">
        <v>6795</v>
      </c>
      <c r="AC54">
        <f t="shared" si="0"/>
        <v>1223.0999999999999</v>
      </c>
      <c r="AD54">
        <f t="shared" si="1"/>
        <v>8018.1</v>
      </c>
      <c r="AE54">
        <f t="shared" si="2"/>
        <v>8018.0999999999995</v>
      </c>
    </row>
    <row r="55" spans="28:31" x14ac:dyDescent="0.35">
      <c r="AB55" s="3">
        <v>6695</v>
      </c>
      <c r="AC55">
        <f t="shared" si="0"/>
        <v>1205.0999999999999</v>
      </c>
      <c r="AD55">
        <f t="shared" si="1"/>
        <v>7900.1</v>
      </c>
      <c r="AE55">
        <f t="shared" si="2"/>
        <v>7900.0999999999995</v>
      </c>
    </row>
    <row r="56" spans="28:31" x14ac:dyDescent="0.35">
      <c r="AB56" s="3">
        <v>7395</v>
      </c>
      <c r="AC56">
        <f t="shared" si="0"/>
        <v>1331.1</v>
      </c>
      <c r="AD56">
        <f t="shared" si="1"/>
        <v>8726.1</v>
      </c>
      <c r="AE56">
        <f t="shared" si="2"/>
        <v>8726.1</v>
      </c>
    </row>
    <row r="57" spans="28:31" x14ac:dyDescent="0.35">
      <c r="AB57" s="3">
        <v>10945</v>
      </c>
      <c r="AC57">
        <f t="shared" si="0"/>
        <v>1970.1</v>
      </c>
      <c r="AD57">
        <f t="shared" si="1"/>
        <v>12915.1</v>
      </c>
      <c r="AE57">
        <f t="shared" si="2"/>
        <v>12915.099999999999</v>
      </c>
    </row>
    <row r="58" spans="28:31" x14ac:dyDescent="0.35">
      <c r="AB58" s="3">
        <v>11845</v>
      </c>
      <c r="AC58">
        <f t="shared" si="0"/>
        <v>2132.1</v>
      </c>
      <c r="AD58">
        <f t="shared" si="1"/>
        <v>13977.1</v>
      </c>
      <c r="AE58">
        <f t="shared" si="2"/>
        <v>13977.099999999999</v>
      </c>
    </row>
    <row r="59" spans="28:31" x14ac:dyDescent="0.35">
      <c r="AB59" s="3">
        <v>13645</v>
      </c>
      <c r="AC59">
        <f t="shared" si="0"/>
        <v>2456.1</v>
      </c>
      <c r="AD59">
        <f t="shared" si="1"/>
        <v>16101.1</v>
      </c>
      <c r="AE59">
        <f t="shared" si="2"/>
        <v>16101.099999999999</v>
      </c>
    </row>
    <row r="60" spans="28:31" x14ac:dyDescent="0.35">
      <c r="AB60" s="3">
        <v>15645</v>
      </c>
      <c r="AC60">
        <f t="shared" si="0"/>
        <v>2816.1</v>
      </c>
      <c r="AD60">
        <f t="shared" si="1"/>
        <v>18461.099999999999</v>
      </c>
      <c r="AE60">
        <f t="shared" si="2"/>
        <v>18461.099999999999</v>
      </c>
    </row>
    <row r="61" spans="28:31" x14ac:dyDescent="0.35">
      <c r="AB61" s="3">
        <v>8845</v>
      </c>
      <c r="AC61">
        <f t="shared" si="0"/>
        <v>1592.1</v>
      </c>
      <c r="AD61">
        <f t="shared" si="1"/>
        <v>10437.1</v>
      </c>
      <c r="AE61">
        <f t="shared" si="2"/>
        <v>10437.099999999999</v>
      </c>
    </row>
    <row r="62" spans="28:31" x14ac:dyDescent="0.35">
      <c r="AB62" s="3">
        <v>8495</v>
      </c>
      <c r="AC62">
        <f t="shared" si="0"/>
        <v>1529.1</v>
      </c>
      <c r="AD62">
        <f t="shared" si="1"/>
        <v>10024.1</v>
      </c>
      <c r="AE62">
        <f t="shared" si="2"/>
        <v>10024.1</v>
      </c>
    </row>
    <row r="63" spans="28:31" x14ac:dyDescent="0.35">
      <c r="AB63" s="3">
        <v>10595</v>
      </c>
      <c r="AC63">
        <f t="shared" si="0"/>
        <v>1907.1</v>
      </c>
      <c r="AD63">
        <f t="shared" si="1"/>
        <v>12502.1</v>
      </c>
      <c r="AE63">
        <f t="shared" si="2"/>
        <v>12502.099999999999</v>
      </c>
    </row>
    <row r="64" spans="28:31" x14ac:dyDescent="0.35">
      <c r="AB64" s="3">
        <v>10245</v>
      </c>
      <c r="AC64">
        <f t="shared" si="0"/>
        <v>1844.1</v>
      </c>
      <c r="AD64">
        <f t="shared" si="1"/>
        <v>12089.1</v>
      </c>
      <c r="AE64">
        <f t="shared" si="2"/>
        <v>12089.099999999999</v>
      </c>
    </row>
    <row r="65" spans="28:31" x14ac:dyDescent="0.35">
      <c r="AB65" s="3">
        <v>10795</v>
      </c>
      <c r="AC65">
        <f t="shared" si="0"/>
        <v>1943.1</v>
      </c>
      <c r="AD65">
        <f t="shared" si="1"/>
        <v>12738.1</v>
      </c>
      <c r="AE65">
        <f t="shared" si="2"/>
        <v>12738.099999999999</v>
      </c>
    </row>
    <row r="66" spans="28:31" x14ac:dyDescent="0.35">
      <c r="AB66" s="3">
        <v>11245</v>
      </c>
      <c r="AC66">
        <f t="shared" si="0"/>
        <v>2024.1</v>
      </c>
      <c r="AD66">
        <f t="shared" si="1"/>
        <v>13269.1</v>
      </c>
      <c r="AE66">
        <f t="shared" si="2"/>
        <v>13269.099999999999</v>
      </c>
    </row>
    <row r="67" spans="28:31" x14ac:dyDescent="0.35">
      <c r="AB67" s="3">
        <v>18280</v>
      </c>
      <c r="AC67">
        <f t="shared" ref="AC67:AC130" si="3">AB67*0.18</f>
        <v>3290.4</v>
      </c>
      <c r="AD67">
        <f t="shared" ref="AD67:AD130" si="4">AB67+AC67</f>
        <v>21570.400000000001</v>
      </c>
      <c r="AE67">
        <f t="shared" ref="AE67:AE130" si="5">AB67*1.18</f>
        <v>21570.399999999998</v>
      </c>
    </row>
    <row r="68" spans="28:31" x14ac:dyDescent="0.35">
      <c r="AB68" s="3">
        <v>18344</v>
      </c>
      <c r="AC68">
        <f t="shared" si="3"/>
        <v>3301.92</v>
      </c>
      <c r="AD68">
        <f t="shared" si="4"/>
        <v>21645.919999999998</v>
      </c>
      <c r="AE68">
        <f t="shared" si="5"/>
        <v>21645.919999999998</v>
      </c>
    </row>
    <row r="69" spans="28:31" x14ac:dyDescent="0.35">
      <c r="AB69" s="3">
        <v>25552</v>
      </c>
      <c r="AC69">
        <f t="shared" si="3"/>
        <v>4599.3599999999997</v>
      </c>
      <c r="AD69">
        <f t="shared" si="4"/>
        <v>30151.360000000001</v>
      </c>
      <c r="AE69">
        <f t="shared" si="5"/>
        <v>30151.359999999997</v>
      </c>
    </row>
    <row r="70" spans="28:31" x14ac:dyDescent="0.35">
      <c r="AB70" s="3">
        <v>28248</v>
      </c>
      <c r="AC70">
        <f t="shared" si="3"/>
        <v>5084.6399999999994</v>
      </c>
      <c r="AD70">
        <f t="shared" si="4"/>
        <v>33332.639999999999</v>
      </c>
      <c r="AE70">
        <f t="shared" si="5"/>
        <v>33332.639999999999</v>
      </c>
    </row>
    <row r="71" spans="28:31" x14ac:dyDescent="0.35">
      <c r="AB71" s="3">
        <v>28176</v>
      </c>
      <c r="AC71">
        <f t="shared" si="3"/>
        <v>5071.6799999999994</v>
      </c>
      <c r="AD71">
        <f t="shared" si="4"/>
        <v>33247.68</v>
      </c>
      <c r="AE71">
        <f t="shared" si="5"/>
        <v>33247.68</v>
      </c>
    </row>
    <row r="72" spans="28:31" x14ac:dyDescent="0.35">
      <c r="AB72" s="3">
        <v>31600</v>
      </c>
      <c r="AC72">
        <f t="shared" si="3"/>
        <v>5688</v>
      </c>
      <c r="AD72">
        <f t="shared" si="4"/>
        <v>37288</v>
      </c>
      <c r="AE72">
        <f t="shared" si="5"/>
        <v>37288</v>
      </c>
    </row>
    <row r="73" spans="28:31" x14ac:dyDescent="0.35">
      <c r="AB73" s="3">
        <v>34184</v>
      </c>
      <c r="AC73">
        <f t="shared" si="3"/>
        <v>6153.12</v>
      </c>
      <c r="AD73">
        <f t="shared" si="4"/>
        <v>40337.120000000003</v>
      </c>
      <c r="AE73">
        <f t="shared" si="5"/>
        <v>40337.119999999995</v>
      </c>
    </row>
    <row r="74" spans="28:31" x14ac:dyDescent="0.35">
      <c r="AB74" s="3">
        <v>35056</v>
      </c>
      <c r="AC74">
        <f t="shared" si="3"/>
        <v>6310.08</v>
      </c>
      <c r="AD74">
        <f t="shared" si="4"/>
        <v>41366.080000000002</v>
      </c>
      <c r="AE74">
        <f t="shared" si="5"/>
        <v>41366.079999999994</v>
      </c>
    </row>
    <row r="75" spans="28:31" x14ac:dyDescent="0.35">
      <c r="AB75" s="3">
        <v>40960</v>
      </c>
      <c r="AC75">
        <f t="shared" si="3"/>
        <v>7372.7999999999993</v>
      </c>
      <c r="AD75">
        <f t="shared" si="4"/>
        <v>48332.800000000003</v>
      </c>
      <c r="AE75">
        <f t="shared" si="5"/>
        <v>48332.799999999996</v>
      </c>
    </row>
    <row r="76" spans="28:31" x14ac:dyDescent="0.35">
      <c r="AB76" s="3">
        <v>45400</v>
      </c>
      <c r="AC76">
        <f t="shared" si="3"/>
        <v>8172</v>
      </c>
      <c r="AD76">
        <f t="shared" si="4"/>
        <v>53572</v>
      </c>
      <c r="AE76">
        <f t="shared" si="5"/>
        <v>53572</v>
      </c>
    </row>
    <row r="77" spans="28:31" x14ac:dyDescent="0.35">
      <c r="AB77" s="3">
        <v>16503</v>
      </c>
      <c r="AC77">
        <f t="shared" si="3"/>
        <v>2970.54</v>
      </c>
      <c r="AD77">
        <f t="shared" si="4"/>
        <v>19473.54</v>
      </c>
      <c r="AE77">
        <f t="shared" si="5"/>
        <v>19473.539999999997</v>
      </c>
    </row>
    <row r="78" spans="28:31" x14ac:dyDescent="0.35">
      <c r="AB78" s="3">
        <v>5389</v>
      </c>
      <c r="AC78">
        <f t="shared" si="3"/>
        <v>970.02</v>
      </c>
      <c r="AD78">
        <f t="shared" si="4"/>
        <v>6359.02</v>
      </c>
      <c r="AE78">
        <f t="shared" si="5"/>
        <v>6359.0199999999995</v>
      </c>
    </row>
    <row r="79" spans="28:31" x14ac:dyDescent="0.35">
      <c r="AB79" s="3">
        <v>6189</v>
      </c>
      <c r="AC79">
        <f t="shared" si="3"/>
        <v>1114.02</v>
      </c>
      <c r="AD79">
        <f t="shared" si="4"/>
        <v>7303.02</v>
      </c>
      <c r="AE79">
        <f t="shared" si="5"/>
        <v>7303.0199999999995</v>
      </c>
    </row>
    <row r="80" spans="28:31" x14ac:dyDescent="0.35">
      <c r="AB80" s="3">
        <v>6669</v>
      </c>
      <c r="AC80">
        <f t="shared" si="3"/>
        <v>1200.4199999999998</v>
      </c>
      <c r="AD80">
        <f t="shared" si="4"/>
        <v>7869.42</v>
      </c>
      <c r="AE80">
        <f t="shared" si="5"/>
        <v>7869.4199999999992</v>
      </c>
    </row>
    <row r="81" spans="28:31" x14ac:dyDescent="0.35">
      <c r="AB81" s="3">
        <v>7689</v>
      </c>
      <c r="AC81">
        <f t="shared" si="3"/>
        <v>1384.02</v>
      </c>
      <c r="AD81">
        <f t="shared" si="4"/>
        <v>9073.02</v>
      </c>
      <c r="AE81">
        <f t="shared" si="5"/>
        <v>9073.0199999999986</v>
      </c>
    </row>
    <row r="82" spans="28:31" x14ac:dyDescent="0.35">
      <c r="AB82" s="3">
        <v>9959</v>
      </c>
      <c r="AC82">
        <f t="shared" si="3"/>
        <v>1792.62</v>
      </c>
      <c r="AD82">
        <f t="shared" si="4"/>
        <v>11751.619999999999</v>
      </c>
      <c r="AE82">
        <f t="shared" si="5"/>
        <v>11751.619999999999</v>
      </c>
    </row>
    <row r="83" spans="28:31" x14ac:dyDescent="0.35">
      <c r="AB83" s="3">
        <v>8499</v>
      </c>
      <c r="AC83">
        <f t="shared" si="3"/>
        <v>1529.82</v>
      </c>
      <c r="AD83">
        <f t="shared" si="4"/>
        <v>10028.82</v>
      </c>
      <c r="AE83">
        <f t="shared" si="5"/>
        <v>10028.82</v>
      </c>
    </row>
    <row r="84" spans="28:31" x14ac:dyDescent="0.35">
      <c r="AB84" s="3">
        <v>12629</v>
      </c>
      <c r="AC84">
        <f t="shared" si="3"/>
        <v>2273.2199999999998</v>
      </c>
      <c r="AD84">
        <f t="shared" si="4"/>
        <v>14902.22</v>
      </c>
      <c r="AE84">
        <f t="shared" si="5"/>
        <v>14902.22</v>
      </c>
    </row>
    <row r="85" spans="28:31" x14ac:dyDescent="0.35">
      <c r="AB85" s="3">
        <v>14869</v>
      </c>
      <c r="AC85">
        <f t="shared" si="3"/>
        <v>2676.42</v>
      </c>
      <c r="AD85">
        <f t="shared" si="4"/>
        <v>17545.419999999998</v>
      </c>
      <c r="AE85">
        <f t="shared" si="5"/>
        <v>17545.419999999998</v>
      </c>
    </row>
    <row r="86" spans="28:31" x14ac:dyDescent="0.35">
      <c r="AB86" s="3">
        <v>14489</v>
      </c>
      <c r="AC86">
        <f t="shared" si="3"/>
        <v>2608.02</v>
      </c>
      <c r="AD86">
        <f t="shared" si="4"/>
        <v>17097.02</v>
      </c>
      <c r="AE86">
        <f t="shared" si="5"/>
        <v>17097.02</v>
      </c>
    </row>
    <row r="87" spans="28:31" x14ac:dyDescent="0.35">
      <c r="AB87" s="3">
        <v>6989</v>
      </c>
      <c r="AC87">
        <f t="shared" si="3"/>
        <v>1258.02</v>
      </c>
      <c r="AD87">
        <f t="shared" si="4"/>
        <v>8247.02</v>
      </c>
      <c r="AE87">
        <f t="shared" si="5"/>
        <v>8247.02</v>
      </c>
    </row>
    <row r="88" spans="28:31" x14ac:dyDescent="0.35">
      <c r="AB88" s="3">
        <v>8189</v>
      </c>
      <c r="AC88">
        <f t="shared" si="3"/>
        <v>1474.02</v>
      </c>
      <c r="AD88">
        <f t="shared" si="4"/>
        <v>9663.02</v>
      </c>
      <c r="AE88">
        <f t="shared" si="5"/>
        <v>9663.0199999999986</v>
      </c>
    </row>
    <row r="89" spans="28:31" x14ac:dyDescent="0.35">
      <c r="AB89" s="3">
        <v>9279</v>
      </c>
      <c r="AC89">
        <f t="shared" si="3"/>
        <v>1670.22</v>
      </c>
      <c r="AD89">
        <f t="shared" si="4"/>
        <v>10949.22</v>
      </c>
      <c r="AE89">
        <f t="shared" si="5"/>
        <v>10949.22</v>
      </c>
    </row>
    <row r="90" spans="28:31" x14ac:dyDescent="0.35">
      <c r="AB90" s="3">
        <v>9279</v>
      </c>
      <c r="AC90">
        <f t="shared" si="3"/>
        <v>1670.22</v>
      </c>
      <c r="AD90">
        <f t="shared" si="4"/>
        <v>10949.22</v>
      </c>
      <c r="AE90">
        <f t="shared" si="5"/>
        <v>10949.22</v>
      </c>
    </row>
    <row r="91" spans="28:31" x14ac:dyDescent="0.35">
      <c r="AB91" s="3">
        <v>5499</v>
      </c>
      <c r="AC91">
        <f t="shared" si="3"/>
        <v>989.81999999999994</v>
      </c>
      <c r="AD91">
        <f t="shared" si="4"/>
        <v>6488.82</v>
      </c>
      <c r="AE91">
        <f t="shared" si="5"/>
        <v>6488.82</v>
      </c>
    </row>
    <row r="92" spans="28:31" x14ac:dyDescent="0.35">
      <c r="AB92" s="3">
        <v>7099</v>
      </c>
      <c r="AC92">
        <f t="shared" si="3"/>
        <v>1277.82</v>
      </c>
      <c r="AD92">
        <f t="shared" si="4"/>
        <v>8376.82</v>
      </c>
      <c r="AE92">
        <f t="shared" si="5"/>
        <v>8376.82</v>
      </c>
    </row>
    <row r="93" spans="28:31" x14ac:dyDescent="0.35">
      <c r="AB93" s="3">
        <v>6649</v>
      </c>
      <c r="AC93">
        <f t="shared" si="3"/>
        <v>1196.82</v>
      </c>
      <c r="AD93">
        <f t="shared" si="4"/>
        <v>7845.82</v>
      </c>
      <c r="AE93">
        <f t="shared" si="5"/>
        <v>7845.82</v>
      </c>
    </row>
    <row r="94" spans="28:31" x14ac:dyDescent="0.35">
      <c r="AB94" s="3">
        <v>6849</v>
      </c>
      <c r="AC94">
        <f t="shared" si="3"/>
        <v>1232.82</v>
      </c>
      <c r="AD94">
        <f t="shared" si="4"/>
        <v>8081.82</v>
      </c>
      <c r="AE94">
        <f t="shared" si="5"/>
        <v>8081.82</v>
      </c>
    </row>
    <row r="95" spans="28:31" x14ac:dyDescent="0.35">
      <c r="AB95" s="3">
        <v>7349</v>
      </c>
      <c r="AC95">
        <f t="shared" si="3"/>
        <v>1322.82</v>
      </c>
      <c r="AD95">
        <f t="shared" si="4"/>
        <v>8671.82</v>
      </c>
      <c r="AE95">
        <f t="shared" si="5"/>
        <v>8671.82</v>
      </c>
    </row>
    <row r="96" spans="28:31" x14ac:dyDescent="0.35">
      <c r="AB96" s="3">
        <v>7299</v>
      </c>
      <c r="AC96">
        <f t="shared" si="3"/>
        <v>1313.82</v>
      </c>
      <c r="AD96">
        <f t="shared" si="4"/>
        <v>8612.82</v>
      </c>
      <c r="AE96">
        <f t="shared" si="5"/>
        <v>8612.82</v>
      </c>
    </row>
    <row r="97" spans="28:31" x14ac:dyDescent="0.35">
      <c r="AB97" s="3">
        <v>7799</v>
      </c>
      <c r="AC97">
        <f t="shared" si="3"/>
        <v>1403.82</v>
      </c>
      <c r="AD97">
        <f t="shared" si="4"/>
        <v>9202.82</v>
      </c>
      <c r="AE97">
        <f t="shared" si="5"/>
        <v>9202.82</v>
      </c>
    </row>
    <row r="98" spans="28:31" x14ac:dyDescent="0.35">
      <c r="AB98" s="3">
        <v>7499</v>
      </c>
      <c r="AC98">
        <f t="shared" si="3"/>
        <v>1349.82</v>
      </c>
      <c r="AD98">
        <f t="shared" si="4"/>
        <v>8848.82</v>
      </c>
      <c r="AE98">
        <f t="shared" si="5"/>
        <v>8848.82</v>
      </c>
    </row>
    <row r="99" spans="28:31" x14ac:dyDescent="0.35">
      <c r="AB99" s="3">
        <v>7999</v>
      </c>
      <c r="AC99">
        <f t="shared" si="3"/>
        <v>1439.82</v>
      </c>
      <c r="AD99">
        <f t="shared" si="4"/>
        <v>9438.82</v>
      </c>
      <c r="AE99">
        <f t="shared" si="5"/>
        <v>9438.82</v>
      </c>
    </row>
    <row r="100" spans="28:31" x14ac:dyDescent="0.35">
      <c r="AB100" s="3">
        <v>8249</v>
      </c>
      <c r="AC100">
        <f t="shared" si="3"/>
        <v>1484.82</v>
      </c>
      <c r="AD100">
        <f t="shared" si="4"/>
        <v>9733.82</v>
      </c>
      <c r="AE100">
        <f t="shared" si="5"/>
        <v>9733.82</v>
      </c>
    </row>
    <row r="101" spans="28:31" x14ac:dyDescent="0.35">
      <c r="AB101" s="3">
        <v>8949</v>
      </c>
      <c r="AC101">
        <f t="shared" si="3"/>
        <v>1610.82</v>
      </c>
      <c r="AD101">
        <f t="shared" si="4"/>
        <v>10559.82</v>
      </c>
      <c r="AE101">
        <f t="shared" si="5"/>
        <v>10559.82</v>
      </c>
    </row>
    <row r="102" spans="28:31" x14ac:dyDescent="0.35">
      <c r="AB102" s="3">
        <v>9549</v>
      </c>
      <c r="AC102">
        <f t="shared" si="3"/>
        <v>1718.82</v>
      </c>
      <c r="AD102">
        <f t="shared" si="4"/>
        <v>11267.82</v>
      </c>
      <c r="AE102">
        <f t="shared" si="5"/>
        <v>11267.82</v>
      </c>
    </row>
    <row r="103" spans="28:31" x14ac:dyDescent="0.35">
      <c r="AB103" s="3">
        <v>13499</v>
      </c>
      <c r="AC103">
        <f t="shared" si="3"/>
        <v>2429.8199999999997</v>
      </c>
      <c r="AD103">
        <f t="shared" si="4"/>
        <v>15928.82</v>
      </c>
      <c r="AE103">
        <f t="shared" si="5"/>
        <v>15928.82</v>
      </c>
    </row>
    <row r="104" spans="28:31" x14ac:dyDescent="0.35">
      <c r="AB104" s="3">
        <v>14399</v>
      </c>
      <c r="AC104">
        <f t="shared" si="3"/>
        <v>2591.8199999999997</v>
      </c>
      <c r="AD104">
        <f t="shared" si="4"/>
        <v>16990.82</v>
      </c>
      <c r="AE104">
        <f t="shared" si="5"/>
        <v>16990.82</v>
      </c>
    </row>
    <row r="105" spans="28:31" x14ac:dyDescent="0.35">
      <c r="AB105" s="3">
        <v>13499</v>
      </c>
      <c r="AC105">
        <f t="shared" si="3"/>
        <v>2429.8199999999997</v>
      </c>
      <c r="AD105">
        <f t="shared" si="4"/>
        <v>15928.82</v>
      </c>
      <c r="AE105">
        <f t="shared" si="5"/>
        <v>15928.82</v>
      </c>
    </row>
    <row r="106" spans="28:31" x14ac:dyDescent="0.35">
      <c r="AB106" s="3">
        <v>17199</v>
      </c>
      <c r="AC106">
        <f t="shared" si="3"/>
        <v>3095.8199999999997</v>
      </c>
      <c r="AD106">
        <f t="shared" si="4"/>
        <v>20294.82</v>
      </c>
      <c r="AE106">
        <f t="shared" si="5"/>
        <v>20294.82</v>
      </c>
    </row>
    <row r="107" spans="28:31" x14ac:dyDescent="0.35">
      <c r="AB107" s="3">
        <v>19699</v>
      </c>
      <c r="AC107">
        <f t="shared" si="3"/>
        <v>3545.8199999999997</v>
      </c>
      <c r="AD107">
        <f t="shared" si="4"/>
        <v>23244.82</v>
      </c>
      <c r="AE107">
        <f t="shared" si="5"/>
        <v>23244.82</v>
      </c>
    </row>
    <row r="108" spans="28:31" x14ac:dyDescent="0.35">
      <c r="AB108" s="3">
        <v>18399</v>
      </c>
      <c r="AC108">
        <f t="shared" si="3"/>
        <v>3311.8199999999997</v>
      </c>
      <c r="AD108">
        <f t="shared" si="4"/>
        <v>21710.82</v>
      </c>
      <c r="AE108">
        <f t="shared" si="5"/>
        <v>21710.82</v>
      </c>
    </row>
    <row r="109" spans="28:31" x14ac:dyDescent="0.35">
      <c r="AB109" s="3">
        <v>11900</v>
      </c>
      <c r="AC109">
        <f t="shared" si="3"/>
        <v>2142</v>
      </c>
      <c r="AD109">
        <f t="shared" si="4"/>
        <v>14042</v>
      </c>
      <c r="AE109">
        <f t="shared" si="5"/>
        <v>14042</v>
      </c>
    </row>
    <row r="110" spans="28:31" x14ac:dyDescent="0.35">
      <c r="AB110" s="3">
        <v>13200</v>
      </c>
      <c r="AC110">
        <f t="shared" si="3"/>
        <v>2376</v>
      </c>
      <c r="AD110">
        <f t="shared" si="4"/>
        <v>15576</v>
      </c>
      <c r="AE110">
        <f t="shared" si="5"/>
        <v>15576</v>
      </c>
    </row>
    <row r="111" spans="28:31" x14ac:dyDescent="0.35">
      <c r="AB111" s="3">
        <v>12440</v>
      </c>
      <c r="AC111">
        <f t="shared" si="3"/>
        <v>2239.1999999999998</v>
      </c>
      <c r="AD111">
        <f t="shared" si="4"/>
        <v>14679.2</v>
      </c>
      <c r="AE111">
        <f t="shared" si="5"/>
        <v>14679.199999999999</v>
      </c>
    </row>
    <row r="112" spans="28:31" x14ac:dyDescent="0.35">
      <c r="AB112" s="3">
        <v>13860</v>
      </c>
      <c r="AC112">
        <f t="shared" si="3"/>
        <v>2494.7999999999997</v>
      </c>
      <c r="AD112">
        <f t="shared" si="4"/>
        <v>16354.8</v>
      </c>
      <c r="AE112">
        <f t="shared" si="5"/>
        <v>16354.8</v>
      </c>
    </row>
    <row r="113" spans="28:31" x14ac:dyDescent="0.35">
      <c r="AB113" s="3">
        <v>15580</v>
      </c>
      <c r="AC113">
        <f t="shared" si="3"/>
        <v>2804.4</v>
      </c>
      <c r="AD113">
        <f t="shared" si="4"/>
        <v>18384.400000000001</v>
      </c>
      <c r="AE113">
        <f t="shared" si="5"/>
        <v>18384.399999999998</v>
      </c>
    </row>
    <row r="114" spans="28:31" x14ac:dyDescent="0.35">
      <c r="AB114" s="3">
        <v>16900</v>
      </c>
      <c r="AC114">
        <f t="shared" si="3"/>
        <v>3042</v>
      </c>
      <c r="AD114">
        <f t="shared" si="4"/>
        <v>19942</v>
      </c>
      <c r="AE114">
        <f t="shared" si="5"/>
        <v>19942</v>
      </c>
    </row>
    <row r="115" spans="28:31" x14ac:dyDescent="0.35">
      <c r="AB115" s="3">
        <v>16695</v>
      </c>
      <c r="AC115">
        <f t="shared" si="3"/>
        <v>3005.1</v>
      </c>
      <c r="AD115">
        <f t="shared" si="4"/>
        <v>19700.099999999999</v>
      </c>
      <c r="AE115">
        <f t="shared" si="5"/>
        <v>19700.099999999999</v>
      </c>
    </row>
    <row r="116" spans="28:31" x14ac:dyDescent="0.35">
      <c r="AB116" s="3">
        <v>17075</v>
      </c>
      <c r="AC116">
        <f t="shared" si="3"/>
        <v>3073.5</v>
      </c>
      <c r="AD116">
        <f t="shared" si="4"/>
        <v>20148.5</v>
      </c>
      <c r="AE116">
        <f t="shared" si="5"/>
        <v>20148.5</v>
      </c>
    </row>
    <row r="117" spans="28:31" x14ac:dyDescent="0.35">
      <c r="AB117" s="3">
        <v>16630</v>
      </c>
      <c r="AC117">
        <f t="shared" si="3"/>
        <v>2993.4</v>
      </c>
      <c r="AD117">
        <f t="shared" si="4"/>
        <v>19623.400000000001</v>
      </c>
      <c r="AE117">
        <f t="shared" si="5"/>
        <v>19623.399999999998</v>
      </c>
    </row>
    <row r="118" spans="28:31" x14ac:dyDescent="0.35">
      <c r="AB118" s="3">
        <v>17950</v>
      </c>
      <c r="AC118">
        <f t="shared" si="3"/>
        <v>3231</v>
      </c>
      <c r="AD118">
        <f t="shared" si="4"/>
        <v>21181</v>
      </c>
      <c r="AE118">
        <f t="shared" si="5"/>
        <v>21181</v>
      </c>
    </row>
    <row r="119" spans="28:31" x14ac:dyDescent="0.35">
      <c r="AB119" s="3">
        <v>18150</v>
      </c>
      <c r="AC119">
        <f t="shared" si="3"/>
        <v>3267</v>
      </c>
      <c r="AD119">
        <f t="shared" si="4"/>
        <v>21417</v>
      </c>
      <c r="AE119">
        <f t="shared" si="5"/>
        <v>21417</v>
      </c>
    </row>
    <row r="120" spans="28:31" x14ac:dyDescent="0.35">
      <c r="AB120" s="3">
        <v>5572</v>
      </c>
      <c r="AC120">
        <f t="shared" si="3"/>
        <v>1002.9599999999999</v>
      </c>
      <c r="AD120">
        <f t="shared" si="4"/>
        <v>6574.96</v>
      </c>
      <c r="AE120">
        <f t="shared" si="5"/>
        <v>6574.96</v>
      </c>
    </row>
    <row r="121" spans="28:31" x14ac:dyDescent="0.35">
      <c r="AB121" s="3">
        <v>7957</v>
      </c>
      <c r="AC121">
        <f t="shared" si="3"/>
        <v>1432.26</v>
      </c>
      <c r="AD121">
        <f t="shared" si="4"/>
        <v>9389.26</v>
      </c>
      <c r="AE121">
        <f t="shared" si="5"/>
        <v>9389.26</v>
      </c>
    </row>
    <row r="122" spans="28:31" x14ac:dyDescent="0.35">
      <c r="AB122" s="3">
        <v>6229</v>
      </c>
      <c r="AC122">
        <f t="shared" si="3"/>
        <v>1121.22</v>
      </c>
      <c r="AD122">
        <f t="shared" si="4"/>
        <v>7350.22</v>
      </c>
      <c r="AE122">
        <f t="shared" si="5"/>
        <v>7350.2199999999993</v>
      </c>
    </row>
    <row r="123" spans="28:31" x14ac:dyDescent="0.35">
      <c r="AB123" s="3">
        <v>6692</v>
      </c>
      <c r="AC123">
        <f t="shared" si="3"/>
        <v>1204.56</v>
      </c>
      <c r="AD123">
        <f t="shared" si="4"/>
        <v>7896.5599999999995</v>
      </c>
      <c r="AE123">
        <f t="shared" si="5"/>
        <v>7896.5599999999995</v>
      </c>
    </row>
    <row r="124" spans="28:31" x14ac:dyDescent="0.35">
      <c r="AB124" s="3">
        <v>7609</v>
      </c>
      <c r="AC124">
        <f t="shared" si="3"/>
        <v>1369.62</v>
      </c>
      <c r="AD124">
        <f t="shared" si="4"/>
        <v>8978.619999999999</v>
      </c>
      <c r="AE124">
        <f t="shared" si="5"/>
        <v>8978.619999999999</v>
      </c>
    </row>
    <row r="125" spans="28:31" x14ac:dyDescent="0.35">
      <c r="AB125" s="3">
        <v>8921</v>
      </c>
      <c r="AC125">
        <f t="shared" si="3"/>
        <v>1605.78</v>
      </c>
      <c r="AD125">
        <f t="shared" si="4"/>
        <v>10526.78</v>
      </c>
      <c r="AE125">
        <f t="shared" si="5"/>
        <v>10526.779999999999</v>
      </c>
    </row>
    <row r="126" spans="28:31" x14ac:dyDescent="0.35">
      <c r="AB126" s="3">
        <v>12764</v>
      </c>
      <c r="AC126">
        <f t="shared" si="3"/>
        <v>2297.52</v>
      </c>
      <c r="AD126">
        <f t="shared" si="4"/>
        <v>15061.52</v>
      </c>
      <c r="AE126">
        <f t="shared" si="5"/>
        <v>15061.519999999999</v>
      </c>
    </row>
    <row r="127" spans="28:31" x14ac:dyDescent="0.35">
      <c r="AB127" s="3">
        <v>22018</v>
      </c>
      <c r="AC127">
        <f t="shared" si="3"/>
        <v>3963.24</v>
      </c>
      <c r="AD127">
        <f t="shared" si="4"/>
        <v>25981.239999999998</v>
      </c>
      <c r="AE127">
        <f t="shared" si="5"/>
        <v>25981.239999999998</v>
      </c>
    </row>
    <row r="128" spans="28:31" x14ac:dyDescent="0.35">
      <c r="AB128" s="3">
        <v>32528</v>
      </c>
      <c r="AC128">
        <f t="shared" si="3"/>
        <v>5855.04</v>
      </c>
      <c r="AD128">
        <f t="shared" si="4"/>
        <v>38383.040000000001</v>
      </c>
      <c r="AE128">
        <f t="shared" si="5"/>
        <v>38383.040000000001</v>
      </c>
    </row>
    <row r="129" spans="28:31" x14ac:dyDescent="0.35">
      <c r="AB129" s="3">
        <v>34028</v>
      </c>
      <c r="AC129">
        <f t="shared" si="3"/>
        <v>6125.04</v>
      </c>
      <c r="AD129">
        <f t="shared" si="4"/>
        <v>40153.040000000001</v>
      </c>
      <c r="AE129">
        <f t="shared" si="5"/>
        <v>40153.040000000001</v>
      </c>
    </row>
    <row r="130" spans="28:31" x14ac:dyDescent="0.35">
      <c r="AB130" s="3">
        <v>37028</v>
      </c>
      <c r="AC130">
        <f t="shared" si="3"/>
        <v>6665.04</v>
      </c>
      <c r="AD130">
        <f t="shared" si="4"/>
        <v>43693.04</v>
      </c>
      <c r="AE130">
        <f t="shared" si="5"/>
        <v>43693.04</v>
      </c>
    </row>
    <row r="131" spans="28:31" x14ac:dyDescent="0.35">
      <c r="AB131" s="3">
        <v>31400.5</v>
      </c>
      <c r="AC131">
        <f t="shared" ref="AC131:AC194" si="6">AB131*0.18</f>
        <v>5652.09</v>
      </c>
      <c r="AD131">
        <f t="shared" ref="AD131:AD194" si="7">AB131+AC131</f>
        <v>37052.589999999997</v>
      </c>
      <c r="AE131">
        <f t="shared" ref="AE131:AE194" si="8">AB131*1.18</f>
        <v>37052.589999999997</v>
      </c>
    </row>
    <row r="132" spans="28:31" x14ac:dyDescent="0.35">
      <c r="AB132" s="3">
        <v>9295</v>
      </c>
      <c r="AC132">
        <f t="shared" si="6"/>
        <v>1673.1</v>
      </c>
      <c r="AD132">
        <f t="shared" si="7"/>
        <v>10968.1</v>
      </c>
      <c r="AE132">
        <f t="shared" si="8"/>
        <v>10968.099999999999</v>
      </c>
    </row>
    <row r="133" spans="28:31" x14ac:dyDescent="0.35">
      <c r="AB133" s="3">
        <v>9895</v>
      </c>
      <c r="AC133">
        <f t="shared" si="6"/>
        <v>1781.1</v>
      </c>
      <c r="AD133">
        <f t="shared" si="7"/>
        <v>11676.1</v>
      </c>
      <c r="AE133">
        <f t="shared" si="8"/>
        <v>11676.099999999999</v>
      </c>
    </row>
    <row r="134" spans="28:31" x14ac:dyDescent="0.35">
      <c r="AB134" s="3">
        <v>11850</v>
      </c>
      <c r="AC134">
        <f t="shared" si="6"/>
        <v>2133</v>
      </c>
      <c r="AD134">
        <f t="shared" si="7"/>
        <v>13983</v>
      </c>
      <c r="AE134">
        <f t="shared" si="8"/>
        <v>13983</v>
      </c>
    </row>
    <row r="135" spans="28:31" x14ac:dyDescent="0.35">
      <c r="AB135" s="3">
        <v>12170</v>
      </c>
      <c r="AC135">
        <f t="shared" si="6"/>
        <v>2190.6</v>
      </c>
      <c r="AD135">
        <f t="shared" si="7"/>
        <v>14360.6</v>
      </c>
      <c r="AE135">
        <f t="shared" si="8"/>
        <v>14360.599999999999</v>
      </c>
    </row>
    <row r="136" spans="28:31" x14ac:dyDescent="0.35">
      <c r="AB136" s="3">
        <v>15040</v>
      </c>
      <c r="AC136">
        <f t="shared" si="6"/>
        <v>2707.2</v>
      </c>
      <c r="AD136">
        <f t="shared" si="7"/>
        <v>17747.2</v>
      </c>
      <c r="AE136">
        <f t="shared" si="8"/>
        <v>17747.2</v>
      </c>
    </row>
    <row r="137" spans="28:31" x14ac:dyDescent="0.35">
      <c r="AB137" s="3">
        <v>15510</v>
      </c>
      <c r="AC137">
        <f t="shared" si="6"/>
        <v>2791.7999999999997</v>
      </c>
      <c r="AD137">
        <f t="shared" si="7"/>
        <v>18301.8</v>
      </c>
      <c r="AE137">
        <f t="shared" si="8"/>
        <v>18301.8</v>
      </c>
    </row>
    <row r="138" spans="28:31" x14ac:dyDescent="0.35">
      <c r="AB138" s="3">
        <v>18150</v>
      </c>
      <c r="AC138">
        <f t="shared" si="6"/>
        <v>3267</v>
      </c>
      <c r="AD138">
        <f t="shared" si="7"/>
        <v>21417</v>
      </c>
      <c r="AE138">
        <f t="shared" si="8"/>
        <v>21417</v>
      </c>
    </row>
    <row r="139" spans="28:31" x14ac:dyDescent="0.35">
      <c r="AB139" s="3">
        <v>18620</v>
      </c>
      <c r="AC139">
        <f t="shared" si="6"/>
        <v>3351.6</v>
      </c>
      <c r="AD139">
        <f t="shared" si="7"/>
        <v>21971.599999999999</v>
      </c>
      <c r="AE139">
        <f t="shared" si="8"/>
        <v>21971.599999999999</v>
      </c>
    </row>
    <row r="140" spans="28:31" x14ac:dyDescent="0.35">
      <c r="AB140" s="3">
        <v>5118</v>
      </c>
      <c r="AC140">
        <f t="shared" si="6"/>
        <v>921.24</v>
      </c>
      <c r="AD140">
        <f t="shared" si="7"/>
        <v>6039.24</v>
      </c>
      <c r="AE140">
        <f t="shared" si="8"/>
        <v>6039.24</v>
      </c>
    </row>
    <row r="141" spans="28:31" x14ac:dyDescent="0.35">
      <c r="AB141" s="3">
        <v>7053</v>
      </c>
      <c r="AC141">
        <f t="shared" si="6"/>
        <v>1269.54</v>
      </c>
      <c r="AD141">
        <f t="shared" si="7"/>
        <v>8322.5400000000009</v>
      </c>
      <c r="AE141">
        <f t="shared" si="8"/>
        <v>8322.5399999999991</v>
      </c>
    </row>
    <row r="142" spans="28:31" x14ac:dyDescent="0.35">
      <c r="AB142" s="3">
        <v>7603</v>
      </c>
      <c r="AC142">
        <f t="shared" si="6"/>
        <v>1368.54</v>
      </c>
      <c r="AD142">
        <f t="shared" si="7"/>
        <v>8971.5400000000009</v>
      </c>
      <c r="AE142">
        <f t="shared" si="8"/>
        <v>8971.5399999999991</v>
      </c>
    </row>
    <row r="143" spans="28:31" x14ac:dyDescent="0.35">
      <c r="AB143" s="3">
        <v>7126</v>
      </c>
      <c r="AC143">
        <f t="shared" si="6"/>
        <v>1282.68</v>
      </c>
      <c r="AD143">
        <f t="shared" si="7"/>
        <v>8408.68</v>
      </c>
      <c r="AE143">
        <f t="shared" si="8"/>
        <v>8408.68</v>
      </c>
    </row>
    <row r="144" spans="28:31" x14ac:dyDescent="0.35">
      <c r="AB144" s="3">
        <v>7775</v>
      </c>
      <c r="AC144">
        <f t="shared" si="6"/>
        <v>1399.5</v>
      </c>
      <c r="AD144">
        <f t="shared" si="7"/>
        <v>9174.5</v>
      </c>
      <c r="AE144">
        <f t="shared" si="8"/>
        <v>9174.5</v>
      </c>
    </row>
    <row r="145" spans="28:31" x14ac:dyDescent="0.35">
      <c r="AB145" s="3">
        <v>9960</v>
      </c>
      <c r="AC145">
        <f t="shared" si="6"/>
        <v>1792.8</v>
      </c>
      <c r="AD145">
        <f t="shared" si="7"/>
        <v>11752.8</v>
      </c>
      <c r="AE145">
        <f t="shared" si="8"/>
        <v>11752.8</v>
      </c>
    </row>
    <row r="146" spans="28:31" x14ac:dyDescent="0.35">
      <c r="AB146" s="3">
        <v>9233</v>
      </c>
      <c r="AC146">
        <f t="shared" si="6"/>
        <v>1661.9399999999998</v>
      </c>
      <c r="AD146">
        <f t="shared" si="7"/>
        <v>10894.94</v>
      </c>
      <c r="AE146">
        <f t="shared" si="8"/>
        <v>10894.939999999999</v>
      </c>
    </row>
    <row r="147" spans="28:31" x14ac:dyDescent="0.35">
      <c r="AB147" s="3">
        <v>11259</v>
      </c>
      <c r="AC147">
        <f t="shared" si="6"/>
        <v>2026.62</v>
      </c>
      <c r="AD147">
        <f t="shared" si="7"/>
        <v>13285.619999999999</v>
      </c>
      <c r="AE147">
        <f t="shared" si="8"/>
        <v>13285.619999999999</v>
      </c>
    </row>
    <row r="148" spans="28:31" x14ac:dyDescent="0.35">
      <c r="AB148" s="3">
        <v>7463</v>
      </c>
      <c r="AC148">
        <f t="shared" si="6"/>
        <v>1343.34</v>
      </c>
      <c r="AD148">
        <f t="shared" si="7"/>
        <v>8806.34</v>
      </c>
      <c r="AE148">
        <f t="shared" si="8"/>
        <v>8806.34</v>
      </c>
    </row>
    <row r="149" spans="28:31" x14ac:dyDescent="0.35">
      <c r="AB149" s="3">
        <v>10198</v>
      </c>
      <c r="AC149">
        <f t="shared" si="6"/>
        <v>1835.6399999999999</v>
      </c>
      <c r="AD149">
        <f t="shared" si="7"/>
        <v>12033.64</v>
      </c>
      <c r="AE149">
        <f t="shared" si="8"/>
        <v>12033.64</v>
      </c>
    </row>
    <row r="150" spans="28:31" x14ac:dyDescent="0.35">
      <c r="AB150" s="3">
        <v>8013</v>
      </c>
      <c r="AC150">
        <f t="shared" si="6"/>
        <v>1442.34</v>
      </c>
      <c r="AD150">
        <f t="shared" si="7"/>
        <v>9455.34</v>
      </c>
      <c r="AE150">
        <f t="shared" si="8"/>
        <v>9455.34</v>
      </c>
    </row>
    <row r="151" spans="28:31" x14ac:dyDescent="0.35">
      <c r="AB151" s="3">
        <v>11694</v>
      </c>
      <c r="AC151">
        <f t="shared" si="6"/>
        <v>2104.92</v>
      </c>
      <c r="AD151">
        <f t="shared" si="7"/>
        <v>13798.92</v>
      </c>
      <c r="AE151">
        <f t="shared" si="8"/>
        <v>13798.92</v>
      </c>
    </row>
    <row r="152" spans="28:31" x14ac:dyDescent="0.35">
      <c r="AB152" s="3">
        <v>5348</v>
      </c>
      <c r="AC152">
        <f t="shared" si="6"/>
        <v>962.64</v>
      </c>
      <c r="AD152">
        <f t="shared" si="7"/>
        <v>6310.64</v>
      </c>
      <c r="AE152">
        <f t="shared" si="8"/>
        <v>6310.6399999999994</v>
      </c>
    </row>
    <row r="153" spans="28:31" x14ac:dyDescent="0.35">
      <c r="AB153" s="3">
        <v>6338</v>
      </c>
      <c r="AC153">
        <f t="shared" si="6"/>
        <v>1140.8399999999999</v>
      </c>
      <c r="AD153">
        <f t="shared" si="7"/>
        <v>7478.84</v>
      </c>
      <c r="AE153">
        <f t="shared" si="8"/>
        <v>7478.8399999999992</v>
      </c>
    </row>
    <row r="154" spans="28:31" x14ac:dyDescent="0.35">
      <c r="AB154" s="3">
        <v>6488</v>
      </c>
      <c r="AC154">
        <f t="shared" si="6"/>
        <v>1167.8399999999999</v>
      </c>
      <c r="AD154">
        <f t="shared" si="7"/>
        <v>7655.84</v>
      </c>
      <c r="AE154">
        <f t="shared" si="8"/>
        <v>7655.8399999999992</v>
      </c>
    </row>
    <row r="155" spans="28:31" x14ac:dyDescent="0.35">
      <c r="AB155" s="3">
        <v>6918</v>
      </c>
      <c r="AC155">
        <f t="shared" si="6"/>
        <v>1245.24</v>
      </c>
      <c r="AD155">
        <f t="shared" si="7"/>
        <v>8163.24</v>
      </c>
      <c r="AE155">
        <f t="shared" si="8"/>
        <v>8163.24</v>
      </c>
    </row>
    <row r="156" spans="28:31" x14ac:dyDescent="0.35">
      <c r="AB156" s="3">
        <v>7898</v>
      </c>
      <c r="AC156">
        <f t="shared" si="6"/>
        <v>1421.6399999999999</v>
      </c>
      <c r="AD156">
        <f t="shared" si="7"/>
        <v>9319.64</v>
      </c>
      <c r="AE156">
        <f t="shared" si="8"/>
        <v>9319.64</v>
      </c>
    </row>
    <row r="157" spans="28:31" x14ac:dyDescent="0.35">
      <c r="AB157" s="3">
        <v>8778</v>
      </c>
      <c r="AC157">
        <f t="shared" si="6"/>
        <v>1580.04</v>
      </c>
      <c r="AD157">
        <f t="shared" si="7"/>
        <v>10358.040000000001</v>
      </c>
      <c r="AE157">
        <f t="shared" si="8"/>
        <v>10358.039999999999</v>
      </c>
    </row>
    <row r="158" spans="28:31" x14ac:dyDescent="0.35">
      <c r="AB158" s="3">
        <v>6938</v>
      </c>
      <c r="AC158">
        <f t="shared" si="6"/>
        <v>1248.8399999999999</v>
      </c>
      <c r="AD158">
        <f t="shared" si="7"/>
        <v>8186.84</v>
      </c>
      <c r="AE158">
        <f t="shared" si="8"/>
        <v>8186.8399999999992</v>
      </c>
    </row>
    <row r="159" spans="28:31" x14ac:dyDescent="0.35">
      <c r="AB159" s="3">
        <v>7198</v>
      </c>
      <c r="AC159">
        <f t="shared" si="6"/>
        <v>1295.6399999999999</v>
      </c>
      <c r="AD159">
        <f t="shared" si="7"/>
        <v>8493.64</v>
      </c>
      <c r="AE159">
        <f t="shared" si="8"/>
        <v>8493.64</v>
      </c>
    </row>
    <row r="160" spans="28:31" x14ac:dyDescent="0.35">
      <c r="AB160" s="3">
        <v>7898</v>
      </c>
      <c r="AC160">
        <f t="shared" si="6"/>
        <v>1421.6399999999999</v>
      </c>
      <c r="AD160">
        <f t="shared" si="7"/>
        <v>9319.64</v>
      </c>
      <c r="AE160">
        <f t="shared" si="8"/>
        <v>9319.64</v>
      </c>
    </row>
    <row r="161" spans="28:31" x14ac:dyDescent="0.35">
      <c r="AB161" s="3">
        <v>7788</v>
      </c>
      <c r="AC161">
        <f t="shared" si="6"/>
        <v>1401.84</v>
      </c>
      <c r="AD161">
        <f t="shared" si="7"/>
        <v>9189.84</v>
      </c>
      <c r="AE161">
        <f t="shared" si="8"/>
        <v>9189.84</v>
      </c>
    </row>
    <row r="162" spans="28:31" x14ac:dyDescent="0.35">
      <c r="AB162" s="3">
        <v>7738</v>
      </c>
      <c r="AC162">
        <f t="shared" si="6"/>
        <v>1392.84</v>
      </c>
      <c r="AD162">
        <f t="shared" si="7"/>
        <v>9130.84</v>
      </c>
      <c r="AE162">
        <f t="shared" si="8"/>
        <v>9130.84</v>
      </c>
    </row>
    <row r="163" spans="28:31" x14ac:dyDescent="0.35">
      <c r="AB163" s="3">
        <v>8358</v>
      </c>
      <c r="AC163">
        <f t="shared" si="6"/>
        <v>1504.44</v>
      </c>
      <c r="AD163">
        <f t="shared" si="7"/>
        <v>9862.44</v>
      </c>
      <c r="AE163">
        <f t="shared" si="8"/>
        <v>9862.4399999999987</v>
      </c>
    </row>
    <row r="164" spans="28:31" x14ac:dyDescent="0.35">
      <c r="AB164" s="3">
        <v>9258</v>
      </c>
      <c r="AC164">
        <f t="shared" si="6"/>
        <v>1666.4399999999998</v>
      </c>
      <c r="AD164">
        <f t="shared" si="7"/>
        <v>10924.44</v>
      </c>
      <c r="AE164">
        <f t="shared" si="8"/>
        <v>10924.439999999999</v>
      </c>
    </row>
    <row r="165" spans="28:31" x14ac:dyDescent="0.35">
      <c r="AB165" s="3">
        <v>8058</v>
      </c>
      <c r="AC165">
        <f t="shared" si="6"/>
        <v>1450.44</v>
      </c>
      <c r="AD165">
        <f t="shared" si="7"/>
        <v>9508.44</v>
      </c>
      <c r="AE165">
        <f t="shared" si="8"/>
        <v>9508.4399999999987</v>
      </c>
    </row>
    <row r="166" spans="28:31" x14ac:dyDescent="0.35">
      <c r="AB166" s="3">
        <v>8238</v>
      </c>
      <c r="AC166">
        <f t="shared" si="6"/>
        <v>1482.84</v>
      </c>
      <c r="AD166">
        <f t="shared" si="7"/>
        <v>9720.84</v>
      </c>
      <c r="AE166">
        <f t="shared" si="8"/>
        <v>9720.84</v>
      </c>
    </row>
    <row r="167" spans="28:31" x14ac:dyDescent="0.35">
      <c r="AB167" s="3">
        <v>9298</v>
      </c>
      <c r="AC167">
        <f t="shared" si="6"/>
        <v>1673.6399999999999</v>
      </c>
      <c r="AD167">
        <f t="shared" si="7"/>
        <v>10971.64</v>
      </c>
      <c r="AE167">
        <f t="shared" si="8"/>
        <v>10971.64</v>
      </c>
    </row>
    <row r="168" spans="28:31" x14ac:dyDescent="0.35">
      <c r="AB168" s="3">
        <v>9538</v>
      </c>
      <c r="AC168">
        <f t="shared" si="6"/>
        <v>1716.84</v>
      </c>
      <c r="AD168">
        <f t="shared" si="7"/>
        <v>11254.84</v>
      </c>
      <c r="AE168">
        <f t="shared" si="8"/>
        <v>11254.84</v>
      </c>
    </row>
    <row r="169" spans="28:31" x14ac:dyDescent="0.35">
      <c r="AB169" s="3">
        <v>8449</v>
      </c>
      <c r="AC169">
        <f t="shared" si="6"/>
        <v>1520.82</v>
      </c>
      <c r="AD169">
        <f t="shared" si="7"/>
        <v>9969.82</v>
      </c>
      <c r="AE169">
        <f t="shared" si="8"/>
        <v>9969.82</v>
      </c>
    </row>
    <row r="170" spans="28:31" x14ac:dyDescent="0.35">
      <c r="AB170" s="3">
        <v>9639</v>
      </c>
      <c r="AC170">
        <f t="shared" si="6"/>
        <v>1735.02</v>
      </c>
      <c r="AD170">
        <f t="shared" si="7"/>
        <v>11374.02</v>
      </c>
      <c r="AE170">
        <f t="shared" si="8"/>
        <v>11374.019999999999</v>
      </c>
    </row>
    <row r="171" spans="28:31" x14ac:dyDescent="0.35">
      <c r="AB171" s="3">
        <v>9989</v>
      </c>
      <c r="AC171">
        <f t="shared" si="6"/>
        <v>1798.02</v>
      </c>
      <c r="AD171">
        <f t="shared" si="7"/>
        <v>11787.02</v>
      </c>
      <c r="AE171">
        <f t="shared" si="8"/>
        <v>11787.019999999999</v>
      </c>
    </row>
    <row r="172" spans="28:31" x14ac:dyDescent="0.35">
      <c r="AB172" s="3">
        <v>11199</v>
      </c>
      <c r="AC172">
        <f t="shared" si="6"/>
        <v>2015.82</v>
      </c>
      <c r="AD172">
        <f t="shared" si="7"/>
        <v>13214.82</v>
      </c>
      <c r="AE172">
        <f t="shared" si="8"/>
        <v>13214.82</v>
      </c>
    </row>
    <row r="173" spans="28:31" x14ac:dyDescent="0.35">
      <c r="AB173" s="3">
        <v>11549</v>
      </c>
      <c r="AC173">
        <f t="shared" si="6"/>
        <v>2078.8199999999997</v>
      </c>
      <c r="AD173">
        <f t="shared" si="7"/>
        <v>13627.82</v>
      </c>
      <c r="AE173">
        <f t="shared" si="8"/>
        <v>13627.82</v>
      </c>
    </row>
    <row r="174" spans="28:31" x14ac:dyDescent="0.35">
      <c r="AB174" s="3">
        <v>17669</v>
      </c>
      <c r="AC174">
        <f t="shared" si="6"/>
        <v>3180.42</v>
      </c>
      <c r="AD174">
        <f t="shared" si="7"/>
        <v>20849.419999999998</v>
      </c>
      <c r="AE174">
        <f t="shared" si="8"/>
        <v>20849.419999999998</v>
      </c>
    </row>
    <row r="175" spans="28:31" x14ac:dyDescent="0.35">
      <c r="AB175" s="3">
        <v>8948</v>
      </c>
      <c r="AC175">
        <f t="shared" si="6"/>
        <v>1610.6399999999999</v>
      </c>
      <c r="AD175">
        <f t="shared" si="7"/>
        <v>10558.64</v>
      </c>
      <c r="AE175">
        <f t="shared" si="8"/>
        <v>10558.64</v>
      </c>
    </row>
    <row r="176" spans="28:31" x14ac:dyDescent="0.35">
      <c r="AB176" s="3">
        <v>10698</v>
      </c>
      <c r="AC176">
        <f t="shared" si="6"/>
        <v>1925.6399999999999</v>
      </c>
      <c r="AD176">
        <f t="shared" si="7"/>
        <v>12623.64</v>
      </c>
      <c r="AE176">
        <f t="shared" si="8"/>
        <v>12623.64</v>
      </c>
    </row>
    <row r="177" spans="28:31" x14ac:dyDescent="0.35">
      <c r="AB177" s="3">
        <v>9988</v>
      </c>
      <c r="AC177">
        <f t="shared" si="6"/>
        <v>1797.84</v>
      </c>
      <c r="AD177">
        <f t="shared" si="7"/>
        <v>11785.84</v>
      </c>
      <c r="AE177">
        <f t="shared" si="8"/>
        <v>11785.84</v>
      </c>
    </row>
    <row r="178" spans="28:31" x14ac:dyDescent="0.35">
      <c r="AB178" s="3">
        <v>10898</v>
      </c>
      <c r="AC178">
        <f t="shared" si="6"/>
        <v>1961.6399999999999</v>
      </c>
      <c r="AD178">
        <f t="shared" si="7"/>
        <v>12859.64</v>
      </c>
      <c r="AE178">
        <f t="shared" si="8"/>
        <v>12859.64</v>
      </c>
    </row>
    <row r="179" spans="28:31" x14ac:dyDescent="0.35">
      <c r="AB179" s="3">
        <v>11248</v>
      </c>
      <c r="AC179">
        <f t="shared" si="6"/>
        <v>2024.6399999999999</v>
      </c>
      <c r="AD179">
        <f t="shared" si="7"/>
        <v>13272.64</v>
      </c>
      <c r="AE179">
        <f t="shared" si="8"/>
        <v>13272.64</v>
      </c>
    </row>
    <row r="180" spans="28:31" x14ac:dyDescent="0.35">
      <c r="AB180" s="3">
        <v>16558</v>
      </c>
      <c r="AC180">
        <f t="shared" si="6"/>
        <v>2980.44</v>
      </c>
      <c r="AD180">
        <f t="shared" si="7"/>
        <v>19538.439999999999</v>
      </c>
      <c r="AE180">
        <f t="shared" si="8"/>
        <v>19538.439999999999</v>
      </c>
    </row>
    <row r="181" spans="28:31" x14ac:dyDescent="0.35">
      <c r="AB181" s="3">
        <v>15998</v>
      </c>
      <c r="AC181">
        <f t="shared" si="6"/>
        <v>2879.64</v>
      </c>
      <c r="AD181">
        <f t="shared" si="7"/>
        <v>18877.64</v>
      </c>
      <c r="AE181">
        <f t="shared" si="8"/>
        <v>18877.64</v>
      </c>
    </row>
    <row r="182" spans="28:31" x14ac:dyDescent="0.35">
      <c r="AB182" s="3">
        <v>15690</v>
      </c>
      <c r="AC182">
        <f t="shared" si="6"/>
        <v>2824.2</v>
      </c>
      <c r="AD182">
        <f t="shared" si="7"/>
        <v>18514.2</v>
      </c>
      <c r="AE182">
        <f t="shared" si="8"/>
        <v>18514.2</v>
      </c>
    </row>
    <row r="183" spans="28:31" x14ac:dyDescent="0.35">
      <c r="AB183" s="3">
        <v>15750</v>
      </c>
      <c r="AC183">
        <f t="shared" si="6"/>
        <v>2835</v>
      </c>
      <c r="AD183">
        <f t="shared" si="7"/>
        <v>18585</v>
      </c>
      <c r="AE183">
        <f t="shared" si="8"/>
        <v>18585</v>
      </c>
    </row>
    <row r="184" spans="28:31" x14ac:dyDescent="0.35">
      <c r="AB184" s="3">
        <v>7775</v>
      </c>
      <c r="AC184">
        <f t="shared" si="6"/>
        <v>1399.5</v>
      </c>
      <c r="AD184">
        <f t="shared" si="7"/>
        <v>9174.5</v>
      </c>
      <c r="AE184">
        <f t="shared" si="8"/>
        <v>9174.5</v>
      </c>
    </row>
    <row r="185" spans="28:31" x14ac:dyDescent="0.35">
      <c r="AB185" s="3">
        <v>7975</v>
      </c>
      <c r="AC185">
        <f t="shared" si="6"/>
        <v>1435.5</v>
      </c>
      <c r="AD185">
        <f t="shared" si="7"/>
        <v>9410.5</v>
      </c>
      <c r="AE185">
        <f t="shared" si="8"/>
        <v>9410.5</v>
      </c>
    </row>
    <row r="186" spans="28:31" x14ac:dyDescent="0.35">
      <c r="AB186" s="3">
        <v>7995</v>
      </c>
      <c r="AC186">
        <f t="shared" si="6"/>
        <v>1439.1</v>
      </c>
      <c r="AD186">
        <f t="shared" si="7"/>
        <v>9434.1</v>
      </c>
      <c r="AE186">
        <f t="shared" si="8"/>
        <v>9434.1</v>
      </c>
    </row>
    <row r="187" spans="28:31" x14ac:dyDescent="0.35">
      <c r="AB187" s="3">
        <v>8195</v>
      </c>
      <c r="AC187">
        <f t="shared" si="6"/>
        <v>1475.1</v>
      </c>
      <c r="AD187">
        <f t="shared" si="7"/>
        <v>9670.1</v>
      </c>
      <c r="AE187">
        <f t="shared" si="8"/>
        <v>9670.1</v>
      </c>
    </row>
    <row r="188" spans="28:31" x14ac:dyDescent="0.35">
      <c r="AB188" s="3">
        <v>8495</v>
      </c>
      <c r="AC188">
        <f t="shared" si="6"/>
        <v>1529.1</v>
      </c>
      <c r="AD188">
        <f t="shared" si="7"/>
        <v>10024.1</v>
      </c>
      <c r="AE188">
        <f t="shared" si="8"/>
        <v>10024.1</v>
      </c>
    </row>
    <row r="189" spans="28:31" x14ac:dyDescent="0.35">
      <c r="AB189" s="3">
        <v>9495</v>
      </c>
      <c r="AC189">
        <f t="shared" si="6"/>
        <v>1709.1</v>
      </c>
      <c r="AD189">
        <f t="shared" si="7"/>
        <v>11204.1</v>
      </c>
      <c r="AE189">
        <f t="shared" si="8"/>
        <v>11204.099999999999</v>
      </c>
    </row>
    <row r="190" spans="28:31" x14ac:dyDescent="0.35">
      <c r="AB190" s="3">
        <v>9995</v>
      </c>
      <c r="AC190">
        <f t="shared" si="6"/>
        <v>1799.1</v>
      </c>
      <c r="AD190">
        <f t="shared" si="7"/>
        <v>11794.1</v>
      </c>
      <c r="AE190">
        <f t="shared" si="8"/>
        <v>11794.099999999999</v>
      </c>
    </row>
    <row r="191" spans="28:31" x14ac:dyDescent="0.35">
      <c r="AB191" s="3">
        <v>11595</v>
      </c>
      <c r="AC191">
        <f t="shared" si="6"/>
        <v>2087.1</v>
      </c>
      <c r="AD191">
        <f t="shared" si="7"/>
        <v>13682.1</v>
      </c>
      <c r="AE191">
        <f t="shared" si="8"/>
        <v>13682.099999999999</v>
      </c>
    </row>
    <row r="192" spans="28:31" x14ac:dyDescent="0.35">
      <c r="AB192" s="3">
        <v>9980</v>
      </c>
      <c r="AC192">
        <f t="shared" si="6"/>
        <v>1796.3999999999999</v>
      </c>
      <c r="AD192">
        <f t="shared" si="7"/>
        <v>11776.4</v>
      </c>
      <c r="AE192">
        <f t="shared" si="8"/>
        <v>11776.4</v>
      </c>
    </row>
    <row r="193" spans="28:31" x14ac:dyDescent="0.35">
      <c r="AB193" s="3">
        <v>13295</v>
      </c>
      <c r="AC193">
        <f t="shared" si="6"/>
        <v>2393.1</v>
      </c>
      <c r="AD193">
        <f t="shared" si="7"/>
        <v>15688.1</v>
      </c>
      <c r="AE193">
        <f t="shared" si="8"/>
        <v>15688.099999999999</v>
      </c>
    </row>
    <row r="194" spans="28:31" x14ac:dyDescent="0.35">
      <c r="AB194" s="3">
        <v>13845</v>
      </c>
      <c r="AC194">
        <f t="shared" si="6"/>
        <v>2492.1</v>
      </c>
      <c r="AD194">
        <f t="shared" si="7"/>
        <v>16337.1</v>
      </c>
      <c r="AE194">
        <f t="shared" si="8"/>
        <v>16337.099999999999</v>
      </c>
    </row>
    <row r="195" spans="28:31" x14ac:dyDescent="0.35">
      <c r="AB195" s="3">
        <v>12290</v>
      </c>
      <c r="AC195">
        <f t="shared" ref="AC195:AC206" si="9">AB195*0.18</f>
        <v>2212.1999999999998</v>
      </c>
      <c r="AD195">
        <f t="shared" ref="AD195:AD206" si="10">AB195+AC195</f>
        <v>14502.2</v>
      </c>
      <c r="AE195">
        <f t="shared" ref="AE195:AE206" si="11">AB195*1.18</f>
        <v>14502.199999999999</v>
      </c>
    </row>
    <row r="196" spans="28:31" x14ac:dyDescent="0.35">
      <c r="AB196" s="3">
        <v>12940</v>
      </c>
      <c r="AC196">
        <f t="shared" si="9"/>
        <v>2329.1999999999998</v>
      </c>
      <c r="AD196">
        <f t="shared" si="10"/>
        <v>15269.2</v>
      </c>
      <c r="AE196">
        <f t="shared" si="11"/>
        <v>15269.199999999999</v>
      </c>
    </row>
    <row r="197" spans="28:31" x14ac:dyDescent="0.35">
      <c r="AB197" s="3">
        <v>13415</v>
      </c>
      <c r="AC197">
        <f t="shared" si="9"/>
        <v>2414.6999999999998</v>
      </c>
      <c r="AD197">
        <f t="shared" si="10"/>
        <v>15829.7</v>
      </c>
      <c r="AE197">
        <f t="shared" si="11"/>
        <v>15829.699999999999</v>
      </c>
    </row>
    <row r="198" spans="28:31" x14ac:dyDescent="0.35">
      <c r="AB198" s="3">
        <v>15985</v>
      </c>
      <c r="AC198">
        <f t="shared" si="9"/>
        <v>2877.2999999999997</v>
      </c>
      <c r="AD198">
        <f t="shared" si="10"/>
        <v>18862.3</v>
      </c>
      <c r="AE198">
        <f t="shared" si="11"/>
        <v>18862.3</v>
      </c>
    </row>
    <row r="199" spans="28:31" x14ac:dyDescent="0.35">
      <c r="AB199" s="3">
        <v>16515</v>
      </c>
      <c r="AC199">
        <f t="shared" si="9"/>
        <v>2972.7</v>
      </c>
      <c r="AD199">
        <f t="shared" si="10"/>
        <v>19487.7</v>
      </c>
      <c r="AE199">
        <f t="shared" si="11"/>
        <v>19487.7</v>
      </c>
    </row>
    <row r="200" spans="28:31" x14ac:dyDescent="0.35">
      <c r="AB200" s="3">
        <v>18420</v>
      </c>
      <c r="AC200">
        <f t="shared" si="9"/>
        <v>3315.6</v>
      </c>
      <c r="AD200">
        <f t="shared" si="10"/>
        <v>21735.599999999999</v>
      </c>
      <c r="AE200">
        <f t="shared" si="11"/>
        <v>21735.599999999999</v>
      </c>
    </row>
    <row r="201" spans="28:31" x14ac:dyDescent="0.35">
      <c r="AB201" s="3">
        <v>18950</v>
      </c>
      <c r="AC201">
        <f t="shared" si="9"/>
        <v>3411</v>
      </c>
      <c r="AD201">
        <f t="shared" si="10"/>
        <v>22361</v>
      </c>
      <c r="AE201">
        <f t="shared" si="11"/>
        <v>22361</v>
      </c>
    </row>
    <row r="202" spans="28:31" x14ac:dyDescent="0.35">
      <c r="AB202" s="3">
        <v>16845</v>
      </c>
      <c r="AC202">
        <f t="shared" si="9"/>
        <v>3032.1</v>
      </c>
      <c r="AD202">
        <f t="shared" si="10"/>
        <v>19877.099999999999</v>
      </c>
      <c r="AE202">
        <f t="shared" si="11"/>
        <v>19877.099999999999</v>
      </c>
    </row>
    <row r="203" spans="28:31" x14ac:dyDescent="0.35">
      <c r="AB203" s="3">
        <v>19045</v>
      </c>
      <c r="AC203">
        <f t="shared" si="9"/>
        <v>3428.1</v>
      </c>
      <c r="AD203">
        <f t="shared" si="10"/>
        <v>22473.1</v>
      </c>
      <c r="AE203">
        <f t="shared" si="11"/>
        <v>22473.1</v>
      </c>
    </row>
    <row r="204" spans="28:31" x14ac:dyDescent="0.35">
      <c r="AB204" s="3">
        <v>21485</v>
      </c>
      <c r="AC204">
        <f t="shared" si="9"/>
        <v>3867.2999999999997</v>
      </c>
      <c r="AD204">
        <f t="shared" si="10"/>
        <v>25352.3</v>
      </c>
      <c r="AE204">
        <f t="shared" si="11"/>
        <v>25352.3</v>
      </c>
    </row>
    <row r="205" spans="28:31" x14ac:dyDescent="0.35">
      <c r="AB205" s="3">
        <v>22470</v>
      </c>
      <c r="AC205">
        <f t="shared" si="9"/>
        <v>4044.6</v>
      </c>
      <c r="AD205">
        <f t="shared" si="10"/>
        <v>26514.6</v>
      </c>
      <c r="AE205">
        <f t="shared" si="11"/>
        <v>26514.6</v>
      </c>
    </row>
    <row r="206" spans="28:31" x14ac:dyDescent="0.35">
      <c r="AB206" s="3">
        <v>22625</v>
      </c>
      <c r="AC206">
        <f t="shared" si="9"/>
        <v>4072.5</v>
      </c>
      <c r="AD206">
        <f t="shared" si="10"/>
        <v>26697.5</v>
      </c>
      <c r="AE206">
        <f t="shared" si="11"/>
        <v>26697.5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CarPrice_Assignment (1) (1)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DHRUVI PANCHAL</dc:creator>
  <cp:lastModifiedBy>Michael Steven</cp:lastModifiedBy>
  <dcterms:created xsi:type="dcterms:W3CDTF">2024-06-12T07:04:29Z</dcterms:created>
  <dcterms:modified xsi:type="dcterms:W3CDTF">2026-05-31T16:45:17Z</dcterms:modified>
</cp:coreProperties>
</file>