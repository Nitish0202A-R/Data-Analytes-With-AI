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ls\"/>
    </mc:Choice>
  </mc:AlternateContent>
  <xr:revisionPtr revIDLastSave="0" documentId="8_{5C22A027-FADC-4D09-8C39-A279CD499D59}" xr6:coauthVersionLast="47" xr6:coauthVersionMax="47" xr10:uidLastSave="{00000000-0000-0000-0000-000000000000}"/>
  <bookViews>
    <workbookView xWindow="-108" yWindow="-108" windowWidth="23256" windowHeight="13176" activeTab="1" xr2:uid="{C4939D50-BF3C-4183-91D9-44E6BC5FBF06}"/>
  </bookViews>
  <sheets>
    <sheet name="Sheet1" sheetId="1" r:id="rId1"/>
    <sheet name="Sheet2" sheetId="2" r:id="rId2"/>
  </sheets>
  <definedNames>
    <definedName name="_xlnm._FilterDatabase" localSheetId="0" hidden="1">Sheet1!$A$1:$C$4</definedName>
    <definedName name="_xlnm._FilterDatabase" localSheetId="1" hidden="1">Sheet2!$A$1:$C$14</definedName>
    <definedName name="_xlchart.v1.0" hidden="1">Sheet2!$A$1</definedName>
    <definedName name="_xlchart.v1.1" hidden="1">Sheet2!$A$2:$A$14</definedName>
    <definedName name="_xlchart.v1.2" hidden="1">Sheet2!$B$1</definedName>
    <definedName name="_xlchart.v1.3" hidden="1">Sheet2!$B$2:$B$14</definedName>
    <definedName name="_xlchart.v1.4" hidden="1">Sheet2!$C$1</definedName>
    <definedName name="_xlchart.v1.5" hidden="1">Sheet2!$C$2:$C$14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O6" i="2"/>
  <c r="C4" i="2"/>
  <c r="C3" i="2"/>
  <c r="C6" i="2"/>
  <c r="C7" i="2"/>
  <c r="C8" i="2"/>
  <c r="C9" i="2"/>
  <c r="C11" i="2"/>
  <c r="C12" i="2"/>
  <c r="C13" i="2"/>
  <c r="C14" i="2"/>
  <c r="C2" i="2"/>
  <c r="B20" i="2"/>
  <c r="B17" i="2"/>
  <c r="B14" i="2"/>
  <c r="K22" i="1"/>
  <c r="G15" i="1"/>
  <c r="G11" i="1"/>
  <c r="G12" i="1"/>
  <c r="G13" i="1"/>
  <c r="G14" i="1"/>
  <c r="M11" i="1"/>
  <c r="O19" i="1"/>
  <c r="Q15" i="1"/>
  <c r="Q11" i="1"/>
  <c r="P10" i="1"/>
  <c r="P9" i="1"/>
  <c r="P8" i="1"/>
</calcChain>
</file>

<file path=xl/sharedStrings.xml><?xml version="1.0" encoding="utf-8"?>
<sst xmlns="http://schemas.openxmlformats.org/spreadsheetml/2006/main" count="28" uniqueCount="25">
  <si>
    <t xml:space="preserve">Name </t>
  </si>
  <si>
    <t>Age</t>
  </si>
  <si>
    <t>Class</t>
  </si>
  <si>
    <t>Nitish</t>
  </si>
  <si>
    <t>BCA</t>
  </si>
  <si>
    <t>Rohit</t>
  </si>
  <si>
    <t>Ravi</t>
  </si>
  <si>
    <t>laptop Ripri</t>
  </si>
  <si>
    <t>Data Analytics</t>
  </si>
  <si>
    <t>Student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</si>
  <si>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</si>
  <si>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</si>
  <si>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</si>
  <si>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</si>
  <si>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</si>
  <si>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</si>
  <si>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</si>
  <si>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</si>
  <si>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</si>
  <si>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</si>
  <si>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</si>
  <si>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</si>
  <si>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</si>
  <si>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Sales</t>
  </si>
  <si>
    <t>Discount of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</si>
</sst>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Sheet2!$A$1</c:f>
              <c:strCache>
                <c:ptCount val="1"/>
                <c:pt idx="0">
                  <c:v>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Sheet2!$A$2:$A$14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3-4861-BA12-6B10042A7299}"/>
            </c:ext>
          </c:extLst>
        </c:ser>
        <c:ser>
          <c:idx val="1"/>
          <c:order val="1"/>
          <c:tx>
            <c:strRef>
              <c:f>Sheet2!$B$1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Sheet2!$B$2:$B$14</c:f>
              <c:numCache>
                <c:formatCode>General</c:formatCode>
                <c:ptCount val="13"/>
                <c:pt idx="0">
                  <c:v>866</c:v>
                </c:pt>
                <c:pt idx="1">
                  <c:v>836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1500</c:v>
                </c:pt>
                <c:pt idx="6">
                  <c:v>600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1200</c:v>
                </c:pt>
                <c:pt idx="11">
                  <c:v>1400</c:v>
                </c:pt>
                <c:pt idx="12">
                  <c:v>10902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43-4861-BA12-6B10042A7299}"/>
            </c:ext>
          </c:extLst>
        </c:ser>
        <c:ser>
          <c:idx val="2"/>
          <c:order val="2"/>
          <c:tx>
            <c:strRef>
              <c:f>Sheet2!$C$1</c:f>
              <c:strCache>
                <c:ptCount val="1"/>
                <c:pt idx="0">
                  <c:v>Discount of 10%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Sheet2!$C$2:$C$14</c:f>
              <c:numCache>
                <c:formatCode>General</c:formatCode>
                <c:ptCount val="13"/>
                <c:pt idx="0">
                  <c:v>779.4</c:v>
                </c:pt>
                <c:pt idx="1">
                  <c:v>752.4</c:v>
                </c:pt>
                <c:pt idx="2">
                  <c:v>450</c:v>
                </c:pt>
                <c:pt idx="3">
                  <c:v>540</c:v>
                </c:pt>
                <c:pt idx="4">
                  <c:v>630</c:v>
                </c:pt>
                <c:pt idx="5">
                  <c:v>1350</c:v>
                </c:pt>
                <c:pt idx="6">
                  <c:v>540</c:v>
                </c:pt>
                <c:pt idx="7">
                  <c:v>720</c:v>
                </c:pt>
                <c:pt idx="9">
                  <c:v>900</c:v>
                </c:pt>
                <c:pt idx="10">
                  <c:v>1080</c:v>
                </c:pt>
                <c:pt idx="11">
                  <c:v>1260</c:v>
                </c:pt>
                <c:pt idx="12">
                  <c:v>9811.8000000000011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43-4861-BA12-6B10042A7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3063344"/>
        <c:axId val="1553062864"/>
        <c:axId val="0"/>
      </c:bar3DChart>
      <c:catAx>
        <c:axId val="1553063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062864"/>
        <c:crosses val="autoZero"/>
        <c:auto val="1"/>
        <c:lblAlgn val="ctr"/>
        <c:lblOffset val="100"/>
        <c:noMultiLvlLbl val="0"/>
      </c:catAx>
      <c:valAx>
        <c:axId val="155306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06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Sheet2!$A$1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Sheet2!$A$2:$A$14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BF-4A3D-A729-8D866710067C}"/>
            </c:ext>
          </c:extLst>
        </c:ser>
        <c:ser>
          <c:idx val="1"/>
          <c:order val="1"/>
          <c:tx>
            <c:strRef>
              <c:f>Sheet2!$B$1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Sheet2!$B$2:$B$14</c:f>
              <c:numCache>
                <c:formatCode>General</c:formatCode>
                <c:ptCount val="13"/>
                <c:pt idx="0">
                  <c:v>866</c:v>
                </c:pt>
                <c:pt idx="1">
                  <c:v>836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1500</c:v>
                </c:pt>
                <c:pt idx="6">
                  <c:v>600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1200</c:v>
                </c:pt>
                <c:pt idx="11">
                  <c:v>1400</c:v>
                </c:pt>
                <c:pt idx="12">
                  <c:v>10902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BF-4A3D-A729-8D866710067C}"/>
            </c:ext>
          </c:extLst>
        </c:ser>
        <c:ser>
          <c:idx val="2"/>
          <c:order val="2"/>
          <c:tx>
            <c:strRef>
              <c:f>Sheet2!$C$1</c:f>
              <c:strCache>
                <c:ptCount val="1"/>
                <c:pt idx="0">
                  <c:v>Discount of 10%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Sheet2!$C$2:$C$14</c:f>
              <c:numCache>
                <c:formatCode>General</c:formatCode>
                <c:ptCount val="13"/>
                <c:pt idx="0">
                  <c:v>779.4</c:v>
                </c:pt>
                <c:pt idx="1">
                  <c:v>752.4</c:v>
                </c:pt>
                <c:pt idx="2">
                  <c:v>450</c:v>
                </c:pt>
                <c:pt idx="3">
                  <c:v>540</c:v>
                </c:pt>
                <c:pt idx="4">
                  <c:v>630</c:v>
                </c:pt>
                <c:pt idx="5">
                  <c:v>1350</c:v>
                </c:pt>
                <c:pt idx="6">
                  <c:v>540</c:v>
                </c:pt>
                <c:pt idx="7">
                  <c:v>720</c:v>
                </c:pt>
                <c:pt idx="9">
                  <c:v>900</c:v>
                </c:pt>
                <c:pt idx="10">
                  <c:v>1080</c:v>
                </c:pt>
                <c:pt idx="11">
                  <c:v>1260</c:v>
                </c:pt>
                <c:pt idx="12">
                  <c:v>9811.8000000000011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BF-4A3D-A729-8D8667100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2747968"/>
        <c:axId val="1482748448"/>
      </c:lineChart>
      <c:catAx>
        <c:axId val="1482747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748448"/>
        <c:crosses val="autoZero"/>
        <c:auto val="1"/>
        <c:lblAlgn val="ctr"/>
        <c:lblOffset val="100"/>
        <c:noMultiLvlLbl val="0"/>
      </c:catAx>
      <c:valAx>
        <c:axId val="148274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74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Sheet2!$B$2:$B$14</c:f>
              <c:numCache>
                <c:formatCode>General</c:formatCode>
                <c:ptCount val="13"/>
                <c:pt idx="0">
                  <c:v>866</c:v>
                </c:pt>
                <c:pt idx="1">
                  <c:v>836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1500</c:v>
                </c:pt>
                <c:pt idx="6">
                  <c:v>600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1200</c:v>
                </c:pt>
                <c:pt idx="11">
                  <c:v>1400</c:v>
                </c:pt>
                <c:pt idx="12">
                  <c:v>10902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6-49A0-BA70-8D06C210F7C5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Discount of 10%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46-49A0-BA70-8D06C210F7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Sheet2!$C$2:$C$14</c:f>
              <c:numCache>
                <c:formatCode>General</c:formatCode>
                <c:ptCount val="13"/>
                <c:pt idx="0">
                  <c:v>779.4</c:v>
                </c:pt>
                <c:pt idx="1">
                  <c:v>752.4</c:v>
                </c:pt>
                <c:pt idx="2">
                  <c:v>450</c:v>
                </c:pt>
                <c:pt idx="3">
                  <c:v>540</c:v>
                </c:pt>
                <c:pt idx="4">
                  <c:v>630</c:v>
                </c:pt>
                <c:pt idx="5">
                  <c:v>1350</c:v>
                </c:pt>
                <c:pt idx="6">
                  <c:v>540</c:v>
                </c:pt>
                <c:pt idx="7">
                  <c:v>720</c:v>
                </c:pt>
                <c:pt idx="9">
                  <c:v>900</c:v>
                </c:pt>
                <c:pt idx="10">
                  <c:v>1080</c:v>
                </c:pt>
                <c:pt idx="11">
                  <c:v>1260</c:v>
                </c:pt>
                <c:pt idx="12">
                  <c:v>9811.8000000000011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46-49A0-BA70-8D06C210F7C5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1</xdr:row>
      <xdr:rowOff>45720</xdr:rowOff>
    </xdr:from>
    <xdr:to>
      <xdr:col>11</xdr:col>
      <xdr:colOff>243840</xdr:colOff>
      <xdr:row>16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5D7685-9F20-60DE-5A3B-173F60BC6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502920</xdr:colOff>
      <xdr:row>16</xdr:row>
      <xdr:rowOff>60960</xdr:rowOff>
    </xdr:from>
    <xdr:to>
      <xdr:col>11</xdr:col>
      <xdr:colOff>198120</xdr:colOff>
      <xdr:row>31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FAA5DF6-E0A0-32AB-154A-52655D171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99060</xdr:colOff>
      <xdr:row>10</xdr:row>
      <xdr:rowOff>76200</xdr:rowOff>
    </xdr:from>
    <xdr:to>
      <xdr:col>18</xdr:col>
      <xdr:colOff>556260</xdr:colOff>
      <xdr:row>25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752393-A1A4-F2BC-A98C-405FACB1D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2415-EC21-4131-B872-1A6871148621}">
  <dimension ref="A1:Q22"/>
  <sheetViews>
    <sheetView workbookViewId="0">
      <selection activeCell="C1" sqref="C1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</row>
    <row r="2" spans="1:17" x14ac:dyDescent="0.3">
      <c r="A2" t="s">
        <v>3</v>
      </c>
      <c r="B2">
        <v>21</v>
      </c>
      <c r="C2" t="s">
        <v>4</v>
      </c>
    </row>
    <row r="3" spans="1:17" x14ac:dyDescent="0.3">
      <c r="A3" t="s">
        <v>5</v>
      </c>
      <c r="B3">
        <v>20</v>
      </c>
      <c r="C3" t="s">
        <v>4</v>
      </c>
    </row>
    <row r="4" spans="1:17" x14ac:dyDescent="0.3">
      <c r="A4" t="s">
        <v>6</v>
      </c>
      <c r="B4">
        <v>19</v>
      </c>
      <c r="C4" t="s">
        <v>7</v>
      </c>
    </row>
    <row r="8" spans="1:17" x14ac:dyDescent="0.3">
      <c r="O8">
        <v>12</v>
      </c>
      <c r="P8">
        <f>SUM(O8:O14)</f>
        <v>167</v>
      </c>
    </row>
    <row r="9" spans="1:17" x14ac:dyDescent="0.3">
      <c r="O9">
        <v>13</v>
      </c>
      <c r="P9">
        <f>AVERAGE(O8:O14)</f>
        <v>23.857142857142858</v>
      </c>
    </row>
    <row r="10" spans="1:17" x14ac:dyDescent="0.3">
      <c r="L10" t="s">
        <v>4</v>
      </c>
      <c r="O10">
        <v>15</v>
      </c>
      <c r="P10">
        <f>SUM(O11,O10,O10,O13,O14)</f>
        <v>132</v>
      </c>
    </row>
    <row r="11" spans="1:17" x14ac:dyDescent="0.3">
      <c r="F11">
        <v>50</v>
      </c>
      <c r="G11">
        <f>F11*10</f>
        <v>500</v>
      </c>
      <c r="J11">
        <v>500</v>
      </c>
      <c r="M11">
        <f>O8+O9</f>
        <v>25</v>
      </c>
      <c r="O11">
        <v>19</v>
      </c>
      <c r="Q11">
        <f>SUM(O8:O11)</f>
        <v>59</v>
      </c>
    </row>
    <row r="12" spans="1:17" x14ac:dyDescent="0.3">
      <c r="F12">
        <v>20</v>
      </c>
      <c r="G12">
        <f t="shared" ref="G12:G15" si="0">F12*10</f>
        <v>200</v>
      </c>
      <c r="O12">
        <v>25</v>
      </c>
    </row>
    <row r="13" spans="1:17" x14ac:dyDescent="0.3">
      <c r="F13">
        <v>30</v>
      </c>
      <c r="G13">
        <f t="shared" si="0"/>
        <v>300</v>
      </c>
      <c r="O13">
        <v>56</v>
      </c>
    </row>
    <row r="14" spans="1:17" x14ac:dyDescent="0.3">
      <c r="F14">
        <v>40</v>
      </c>
      <c r="G14">
        <f t="shared" si="0"/>
        <v>400</v>
      </c>
      <c r="O14">
        <v>27</v>
      </c>
    </row>
    <row r="15" spans="1:17" x14ac:dyDescent="0.3">
      <c r="F15">
        <v>60</v>
      </c>
      <c r="G15">
        <f>F15*10</f>
        <v>600</v>
      </c>
      <c r="K15" t="s">
        <v>8</v>
      </c>
      <c r="Q15">
        <f>AVERAGE(O8:O14)</f>
        <v>23.857142857142858</v>
      </c>
    </row>
    <row r="16" spans="1:17" x14ac:dyDescent="0.3">
      <c r="K16" t="s">
        <v>8</v>
      </c>
    </row>
    <row r="19" spans="10:15" x14ac:dyDescent="0.3">
      <c r="L19" t="s">
        <v>9</v>
      </c>
      <c r="O19">
        <f>COUNT(O8:O14)</f>
        <v>7</v>
      </c>
    </row>
    <row r="22" spans="10:15" x14ac:dyDescent="0.3">
      <c r="J22">
        <v>250</v>
      </c>
      <c r="K22">
        <f>J22*0.9</f>
        <v>225</v>
      </c>
    </row>
  </sheetData>
  <autoFilter ref="A1:C4" xr:uid="{C4B52415-EC21-4131-B872-1A687114862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E57-5E56-40EB-8024-762012180CB5}">
  <dimension ref="A1:O20"/>
  <sheetViews>
    <sheetView tabSelected="1" zoomScale="105" workbookViewId="0">
      <selection activeCell="N6" sqref="N6"/>
    </sheetView>
  </sheetViews>
  <sheetFormatPr defaultRowHeight="14.4" x14ac:dyDescent="0.3"/>
  <cols>
    <col min="1" max="1" width="12.6640625" customWidth="1"/>
    <col min="2" max="2" width="13.33203125" customWidth="1"/>
    <col min="3" max="3" width="19.33203125" customWidth="1"/>
    <col min="13" max="13" width="15.5546875" customWidth="1"/>
  </cols>
  <sheetData>
    <row r="1" spans="1:15" x14ac:dyDescent="0.3">
      <c r="A1" s="1" t="s">
        <v>22</v>
      </c>
      <c r="B1" s="1" t="s">
        <v>23</v>
      </c>
      <c r="C1" s="1" t="s">
        <v>24</v>
      </c>
    </row>
    <row r="2" spans="1:15" x14ac:dyDescent="0.3">
      <c r="A2" s="2" t="s">
        <v>10</v>
      </c>
      <c r="B2" s="2">
        <v>866</v>
      </c>
      <c r="C2" s="3">
        <f>B2*0.9</f>
        <v>779.4</v>
      </c>
    </row>
    <row r="3" spans="1:15" x14ac:dyDescent="0.3">
      <c r="A3" s="2" t="s">
        <v>11</v>
      </c>
      <c r="B3" s="2">
        <v>836</v>
      </c>
      <c r="C3" s="3">
        <f>B3*0.9</f>
        <v>752.4</v>
      </c>
    </row>
    <row r="4" spans="1:15" x14ac:dyDescent="0.3">
      <c r="A4" s="2" t="s">
        <v>12</v>
      </c>
      <c r="B4" s="2">
        <v>500</v>
      </c>
      <c r="C4" s="3">
        <f>B4*0.9</f>
        <v>450</v>
      </c>
    </row>
    <row r="5" spans="1:15" x14ac:dyDescent="0.3">
      <c r="A5" s="2" t="s">
        <v>13</v>
      </c>
      <c r="B5" s="2">
        <v>600</v>
      </c>
      <c r="C5" s="3">
        <f>B5*0.9</f>
        <v>540</v>
      </c>
    </row>
    <row r="6" spans="1:15" x14ac:dyDescent="0.3">
      <c r="A6" s="2" t="s">
        <v>14</v>
      </c>
      <c r="B6" s="2">
        <v>700</v>
      </c>
      <c r="C6" s="3">
        <f>B6*0.9</f>
        <v>630</v>
      </c>
      <c r="O6">
        <f>O9</f>
        <v>0</v>
      </c>
    </row>
    <row r="7" spans="1:15" x14ac:dyDescent="0.3">
      <c r="A7" s="2" t="s">
        <v>15</v>
      </c>
      <c r="B7" s="2">
        <v>1500</v>
      </c>
      <c r="C7" s="3">
        <f>B7*0.9</f>
        <v>1350</v>
      </c>
    </row>
    <row r="8" spans="1:15" x14ac:dyDescent="0.3">
      <c r="A8" s="2" t="s">
        <v>16</v>
      </c>
      <c r="B8" s="2">
        <v>600</v>
      </c>
      <c r="C8" s="3">
        <f>B8*0.9</f>
        <v>540</v>
      </c>
    </row>
    <row r="9" spans="1:15" x14ac:dyDescent="0.3">
      <c r="A9" s="2" t="s">
        <v>17</v>
      </c>
      <c r="B9" s="2">
        <v>800</v>
      </c>
      <c r="C9" s="3">
        <f>B9*0.9</f>
        <v>720</v>
      </c>
    </row>
    <row r="10" spans="1:15" x14ac:dyDescent="0.3">
      <c r="A10" s="2" t="s">
        <v>18</v>
      </c>
      <c r="B10" s="2">
        <v>900</v>
      </c>
      <c r="C10" s="3"/>
    </row>
    <row r="11" spans="1:15" x14ac:dyDescent="0.3">
      <c r="A11" s="2" t="s">
        <v>19</v>
      </c>
      <c r="B11" s="2">
        <v>1000</v>
      </c>
      <c r="C11" s="3">
        <f>B11*0.9</f>
        <v>900</v>
      </c>
    </row>
    <row r="12" spans="1:15" x14ac:dyDescent="0.3">
      <c r="A12" s="2" t="s">
        <v>20</v>
      </c>
      <c r="B12" s="2">
        <v>1200</v>
      </c>
      <c r="C12" s="3">
        <f>B12*0.9</f>
        <v>1080</v>
      </c>
    </row>
    <row r="13" spans="1:15" x14ac:dyDescent="0.3">
      <c r="A13" s="2" t="s">
        <v>21</v>
      </c>
      <c r="B13" s="2">
        <v>1400</v>
      </c>
      <c r="C13" s="3">
        <f>B13*0.9</f>
        <v>1260</v>
      </c>
    </row>
    <row r="14" spans="1:15" x14ac:dyDescent="0.3">
      <c r="B14">
        <f>SUM(B2:B13)</f>
        <v>10902</v>
      </c>
      <c r="C14" s="3">
        <f>B14*0.9</f>
        <v>9811.8000000000011</v>
      </c>
    </row>
    <row r="17" spans="2:2" x14ac:dyDescent="0.3">
      <c r="B17">
        <f>COUNT(B2:B13)</f>
        <v>12</v>
      </c>
    </row>
    <row r="20" spans="2:2" x14ac:dyDescent="0.3">
      <c r="B20">
        <f>AVERAGE(B2:B13)</f>
        <v>908.5</v>
      </c>
    </row>
  </sheetData>
  <autoFilter ref="A1:C14" xr:uid="{6AEBAE57-5E56-40EB-8024-762012180CB5}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KR SINGH</dc:creator>
  <cp:lastModifiedBy>NITISH KR SINGH</cp:lastModifiedBy>
  <dcterms:created xsi:type="dcterms:W3CDTF">2026-07-23T17:20:00Z</dcterms:created>
  <dcterms:modified xsi:type="dcterms:W3CDTF">2026-07-23T22:21:46Z</dcterms:modified>
</cp:coreProperties>
</file>